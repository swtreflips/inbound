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https://primetimepackaging-my.sharepoint.com/personal/luismht_primetimepackaging_com/Documents/Inbound Update/"/>
    </mc:Choice>
  </mc:AlternateContent>
  <xr:revisionPtr revIDLastSave="10" documentId="13_ncr:1_{191D7A37-90D0-4F90-B8B9-A75DE6273064}" xr6:coauthVersionLast="47" xr6:coauthVersionMax="47" xr10:uidLastSave="{CD6532D2-25E3-4A50-B003-805B465EE891}"/>
  <bookViews>
    <workbookView xWindow="28680" yWindow="-120" windowWidth="29040" windowHeight="15720" firstSheet="4" activeTab="5" xr2:uid="{6DE3A829-75DF-E64E-BC19-ED27B98B144E}"/>
  </bookViews>
  <sheets>
    <sheet name="Master Sheet_Src" sheetId="15" state="hidden" r:id="rId1"/>
    <sheet name="Req" sheetId="5" r:id="rId2"/>
    <sheet name="Instructions" sheetId="29" r:id="rId3"/>
    <sheet name="Settings" sheetId="4" r:id="rId4"/>
    <sheet name="Inbound Weekly Update Template " sheetId="1" r:id="rId5"/>
    <sheet name="ERP" sheetId="33" r:id="rId6"/>
    <sheet name="IDC" sheetId="35" r:id="rId7"/>
    <sheet name="OEC Portal" sheetId="34" r:id="rId8"/>
    <sheet name="OEC Email" sheetId="31" r:id="rId9"/>
    <sheet name="Soma" sheetId="38" r:id="rId10"/>
    <sheet name="UWL, Inc." sheetId="32" r:id="rId11"/>
    <sheet name="Tanera Go" sheetId="39" r:id="rId12"/>
    <sheet name="Topocean" sheetId="37" r:id="rId13"/>
    <sheet name="UNIS" sheetId="36" r:id="rId14"/>
    <sheet name="BluVoyix" sheetId="40" r:id="rId15"/>
  </sheets>
  <functionGroups builtInGroupCount="19"/>
  <definedNames>
    <definedName name="_xlnm._FilterDatabase" localSheetId="4" hidden="1">'Inbound Weekly Update Template '!$A$1:$BU$63</definedName>
    <definedName name="_xlnm._FilterDatabase" localSheetId="7" hidden="1">'OEC Portal'!$A$1:$T$1</definedName>
    <definedName name="_xlnm._FilterDatabase" localSheetId="12" hidden="1">Topocean!$A$1:$AB$1</definedName>
    <definedName name="_xlnm._FilterDatabase" localSheetId="13" hidden="1">UNIS!$A$1:$Y$1</definedName>
    <definedName name="_xlnm._FilterDatabase" localSheetId="10" hidden="1">'UWL, Inc.'!#REF!</definedName>
    <definedName name="_xleta.IF"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C1" i="40" l="1"/>
  <c r="BA2" i="40"/>
  <c r="BA3" i="40"/>
  <c r="BA4" i="40"/>
  <c r="BA5" i="40"/>
  <c r="BA6" i="40"/>
  <c r="BA7" i="40"/>
  <c r="BA8" i="40"/>
  <c r="BA9" i="40"/>
  <c r="BA10" i="40"/>
  <c r="BA11" i="40"/>
  <c r="BA12" i="40"/>
  <c r="BA13" i="40"/>
  <c r="BA14" i="40"/>
  <c r="BA15" i="40"/>
  <c r="BA16" i="40"/>
  <c r="BA17" i="40"/>
  <c r="BA18" i="40"/>
  <c r="BA19" i="40"/>
  <c r="BA20" i="40"/>
  <c r="BA21" i="40"/>
  <c r="BA22" i="40"/>
  <c r="BA23" i="40"/>
  <c r="BA24" i="40"/>
  <c r="BA25" i="40"/>
  <c r="BA26" i="40"/>
  <c r="BA27" i="40"/>
  <c r="BA28" i="40"/>
  <c r="BA29" i="40"/>
  <c r="BA30" i="40"/>
  <c r="BA31" i="40"/>
  <c r="BA32" i="40"/>
  <c r="BA33" i="40"/>
  <c r="BA34" i="40"/>
  <c r="BA35" i="40"/>
  <c r="BA36" i="40"/>
  <c r="BA37" i="40"/>
  <c r="BA38" i="40"/>
  <c r="BA39" i="40"/>
  <c r="BA40" i="40"/>
  <c r="BA41" i="40"/>
  <c r="BA42" i="40"/>
  <c r="BA43" i="40"/>
  <c r="BA44" i="40"/>
  <c r="BA45" i="40"/>
  <c r="BA46" i="40"/>
  <c r="BA47" i="40"/>
  <c r="BA48" i="40"/>
  <c r="BA49" i="40"/>
  <c r="BA50" i="40"/>
  <c r="BA51" i="40"/>
  <c r="BA52" i="40"/>
  <c r="BA53" i="40"/>
  <c r="BA54" i="40"/>
  <c r="BA55" i="40"/>
  <c r="BA56" i="40"/>
  <c r="BA57" i="40"/>
  <c r="BA58" i="40"/>
  <c r="BA59" i="40"/>
  <c r="BA60" i="40"/>
  <c r="BA61" i="40"/>
  <c r="BA62" i="40"/>
  <c r="BA63" i="40"/>
  <c r="BA64" i="40"/>
  <c r="BA65" i="40"/>
  <c r="BA66" i="40"/>
  <c r="BA67" i="40"/>
  <c r="BA68" i="40"/>
  <c r="BA69" i="40"/>
  <c r="BA70" i="40"/>
  <c r="BA71" i="40"/>
  <c r="BA72" i="40"/>
  <c r="BA73" i="40"/>
  <c r="BA74" i="40"/>
  <c r="BA75" i="40"/>
  <c r="BA76" i="40"/>
  <c r="BA77" i="40"/>
  <c r="BA78" i="40"/>
  <c r="BA79" i="40"/>
  <c r="BA80" i="40"/>
  <c r="BA81" i="40"/>
  <c r="BA82" i="40"/>
  <c r="BA83" i="40"/>
  <c r="BA84" i="40"/>
  <c r="BA85" i="40"/>
  <c r="BA86" i="40"/>
  <c r="BA87" i="40"/>
  <c r="BA88" i="40"/>
  <c r="BA89" i="40"/>
  <c r="BA90" i="40"/>
  <c r="BA91" i="40"/>
  <c r="BA92" i="40"/>
  <c r="BA93" i="40"/>
  <c r="BA94" i="40"/>
  <c r="BA95" i="40"/>
  <c r="BA96" i="40"/>
  <c r="BA97" i="40"/>
  <c r="BA98" i="40"/>
  <c r="BA99" i="40"/>
  <c r="BA100" i="40"/>
  <c r="BA101" i="40"/>
  <c r="BA102" i="40"/>
  <c r="BA103" i="40"/>
  <c r="BA104" i="40"/>
  <c r="BA105" i="40"/>
  <c r="BA106" i="40"/>
  <c r="BA107" i="40"/>
  <c r="BA108" i="40"/>
  <c r="BA109" i="40"/>
  <c r="BA110" i="40"/>
  <c r="BA111" i="40"/>
  <c r="BA112" i="40"/>
  <c r="BA113" i="40"/>
  <c r="BA114" i="40"/>
  <c r="BA115" i="40"/>
  <c r="BA116" i="40"/>
  <c r="BA117" i="40"/>
  <c r="BA118" i="40"/>
  <c r="BA119" i="40"/>
  <c r="BA120" i="40"/>
  <c r="BA121" i="40"/>
  <c r="BA122" i="40"/>
  <c r="BA123" i="40"/>
  <c r="BA124" i="40"/>
  <c r="BA125" i="40"/>
  <c r="BA126" i="40"/>
  <c r="BA127" i="40"/>
  <c r="BA128" i="40"/>
  <c r="BA129" i="40"/>
  <c r="BA130" i="40"/>
  <c r="BA131" i="40"/>
  <c r="BA132" i="40"/>
  <c r="BA133" i="40"/>
  <c r="BA134" i="40"/>
  <c r="BA135" i="40"/>
  <c r="BA136" i="40"/>
  <c r="BA137" i="40"/>
  <c r="BA138" i="40"/>
  <c r="BA139" i="40"/>
  <c r="BA140" i="40"/>
  <c r="BA141" i="40"/>
  <c r="BA142" i="40"/>
  <c r="BA143" i="40"/>
  <c r="BA144" i="40"/>
  <c r="BA145" i="40"/>
  <c r="BA146" i="40"/>
  <c r="BA147" i="40"/>
  <c r="BA148" i="40"/>
  <c r="BA149" i="40"/>
  <c r="BA150" i="40"/>
  <c r="BA151" i="40"/>
  <c r="BA152" i="40"/>
  <c r="BA153" i="40"/>
  <c r="BA154" i="40"/>
  <c r="BA155" i="40"/>
  <c r="BA156" i="40"/>
  <c r="BA157" i="40"/>
  <c r="BA158" i="40"/>
  <c r="BA159" i="40"/>
  <c r="BA160" i="40"/>
  <c r="BA161" i="40"/>
  <c r="BA162" i="40"/>
  <c r="BA163" i="40"/>
  <c r="BA164" i="40"/>
  <c r="BA165" i="40"/>
  <c r="BA166" i="40"/>
  <c r="BA167" i="40"/>
  <c r="BA168" i="40"/>
  <c r="BA169" i="40"/>
  <c r="BA170" i="40"/>
  <c r="BA171" i="40"/>
  <c r="BA172" i="40"/>
  <c r="BA173" i="40"/>
  <c r="BA174" i="40"/>
  <c r="BA175" i="40"/>
  <c r="BA176" i="40"/>
  <c r="BA177" i="40"/>
  <c r="BA178" i="40"/>
  <c r="BA179" i="40"/>
  <c r="BA180" i="40"/>
  <c r="BA181" i="40"/>
  <c r="BA182" i="40"/>
  <c r="BA183" i="40"/>
  <c r="BA184" i="40"/>
  <c r="BA185" i="40"/>
  <c r="BA186" i="40"/>
  <c r="BA187" i="40"/>
  <c r="BA188" i="40"/>
  <c r="BA189" i="40"/>
  <c r="BA190" i="40"/>
  <c r="BA191" i="40"/>
  <c r="BA192" i="40"/>
  <c r="BA193" i="40"/>
  <c r="BA194" i="40"/>
  <c r="BA195" i="40"/>
  <c r="BA196" i="40"/>
  <c r="BA197" i="40"/>
  <c r="BA198" i="40"/>
  <c r="BA199" i="40"/>
  <c r="BA200" i="40"/>
  <c r="BA201" i="40"/>
  <c r="BA202" i="40"/>
  <c r="BA203" i="40"/>
  <c r="BA204" i="40"/>
  <c r="BA205" i="40"/>
  <c r="BA206" i="40"/>
  <c r="BA207" i="40"/>
  <c r="BA208" i="40"/>
  <c r="BA209" i="40"/>
  <c r="BA210" i="40"/>
  <c r="BA211" i="40"/>
  <c r="BA212" i="40"/>
  <c r="BA213" i="40"/>
  <c r="BA214" i="40"/>
  <c r="BA215" i="40"/>
  <c r="BA216" i="40"/>
  <c r="BA217" i="40"/>
  <c r="BA218" i="40"/>
  <c r="BA219" i="40"/>
  <c r="BA220" i="40"/>
  <c r="BA221" i="40"/>
  <c r="BA222" i="40"/>
  <c r="BA223" i="40"/>
  <c r="BA224" i="40"/>
  <c r="BA225" i="40"/>
  <c r="BA226" i="40"/>
  <c r="BA227" i="40"/>
  <c r="BA228" i="40"/>
  <c r="BA229" i="40"/>
  <c r="BA230" i="40"/>
  <c r="BA231" i="40"/>
  <c r="BA232" i="40"/>
  <c r="BA233" i="40"/>
  <c r="BA234" i="40"/>
  <c r="BA235" i="40"/>
  <c r="BA236" i="40"/>
  <c r="BA237" i="40"/>
  <c r="BA238" i="40"/>
  <c r="BA239" i="40"/>
  <c r="BA240" i="40"/>
  <c r="BA241" i="40"/>
  <c r="BA242" i="40"/>
  <c r="BA243" i="40"/>
  <c r="BA244" i="40"/>
  <c r="BA245" i="40"/>
  <c r="BA246" i="40"/>
  <c r="BA247" i="40"/>
  <c r="BA248" i="40"/>
  <c r="BA249" i="40"/>
  <c r="BA250" i="40"/>
  <c r="FG2" i="1"/>
  <c r="FG3" i="1"/>
  <c r="FG4" i="1"/>
  <c r="FG5" i="1"/>
  <c r="FG6" i="1"/>
  <c r="FG7" i="1"/>
  <c r="FG8" i="1"/>
  <c r="FG9" i="1"/>
  <c r="FG10" i="1"/>
  <c r="FG11" i="1"/>
  <c r="FG12" i="1"/>
  <c r="FG13" i="1"/>
  <c r="FG14" i="1"/>
  <c r="FG15" i="1"/>
  <c r="FG16" i="1"/>
  <c r="FG17" i="1"/>
  <c r="FG18" i="1"/>
  <c r="FG19" i="1"/>
  <c r="FG20" i="1"/>
  <c r="FG21" i="1"/>
  <c r="FG22" i="1"/>
  <c r="FG23" i="1"/>
  <c r="FG24" i="1"/>
  <c r="FG25" i="1"/>
  <c r="FG26" i="1"/>
  <c r="FG27" i="1"/>
  <c r="FG28" i="1"/>
  <c r="FG29" i="1"/>
  <c r="FG30" i="1"/>
  <c r="FG31" i="1"/>
  <c r="FG32" i="1"/>
  <c r="FG33" i="1"/>
  <c r="FG34" i="1"/>
  <c r="FG35" i="1"/>
  <c r="FG36" i="1"/>
  <c r="FG37" i="1"/>
  <c r="FG38" i="1"/>
  <c r="FG39" i="1"/>
  <c r="FG40" i="1"/>
  <c r="FG41" i="1"/>
  <c r="FG42" i="1"/>
  <c r="FG43" i="1"/>
  <c r="FG44" i="1"/>
  <c r="FG45" i="1"/>
  <c r="FG46" i="1"/>
  <c r="FG47" i="1"/>
  <c r="FG48" i="1"/>
  <c r="FG49" i="1"/>
  <c r="FG50" i="1"/>
  <c r="FG51" i="1"/>
  <c r="FG52" i="1"/>
  <c r="FG53" i="1"/>
  <c r="FG54" i="1"/>
  <c r="FG55" i="1"/>
  <c r="FG56" i="1"/>
  <c r="FG57" i="1"/>
  <c r="FG58" i="1"/>
  <c r="FG59" i="1"/>
  <c r="FG60" i="1"/>
  <c r="FG61" i="1"/>
  <c r="FG62" i="1"/>
  <c r="FG63" i="1"/>
  <c r="FG64" i="1"/>
  <c r="FG65" i="1"/>
  <c r="FG66" i="1"/>
  <c r="FG67" i="1"/>
  <c r="FG68" i="1"/>
  <c r="FG69" i="1"/>
  <c r="FG70" i="1"/>
  <c r="EV2" i="1"/>
  <c r="EV3" i="1"/>
  <c r="EV4" i="1"/>
  <c r="EV5" i="1"/>
  <c r="EV6" i="1"/>
  <c r="EV7" i="1"/>
  <c r="EV8" i="1"/>
  <c r="EV9" i="1"/>
  <c r="EV10" i="1"/>
  <c r="EV11" i="1"/>
  <c r="EV12" i="1"/>
  <c r="EV13" i="1"/>
  <c r="EV14" i="1"/>
  <c r="EV15" i="1"/>
  <c r="EV16" i="1"/>
  <c r="EV17" i="1"/>
  <c r="EV18" i="1"/>
  <c r="EV19" i="1"/>
  <c r="EV20" i="1"/>
  <c r="EV21" i="1"/>
  <c r="EV22" i="1"/>
  <c r="EV23" i="1"/>
  <c r="EV24" i="1"/>
  <c r="EV25" i="1"/>
  <c r="EV26" i="1"/>
  <c r="EV27" i="1"/>
  <c r="EV28" i="1"/>
  <c r="EV29" i="1"/>
  <c r="EV30" i="1"/>
  <c r="EV31" i="1"/>
  <c r="EV32" i="1"/>
  <c r="EV33" i="1"/>
  <c r="EV34" i="1"/>
  <c r="EV35" i="1"/>
  <c r="EV36" i="1"/>
  <c r="EV37" i="1"/>
  <c r="EV38" i="1"/>
  <c r="EV39" i="1"/>
  <c r="EV40" i="1"/>
  <c r="EV41" i="1"/>
  <c r="EV42" i="1"/>
  <c r="EV43" i="1"/>
  <c r="EV44" i="1"/>
  <c r="EV45" i="1"/>
  <c r="EV46" i="1"/>
  <c r="EV47" i="1"/>
  <c r="EV48" i="1"/>
  <c r="EV49" i="1"/>
  <c r="EV50" i="1"/>
  <c r="EV51" i="1"/>
  <c r="EV52" i="1"/>
  <c r="EV53" i="1"/>
  <c r="EV54" i="1"/>
  <c r="EV55" i="1"/>
  <c r="EV56" i="1"/>
  <c r="EV57" i="1"/>
  <c r="EV58" i="1"/>
  <c r="EV59" i="1"/>
  <c r="EV60" i="1"/>
  <c r="EV61" i="1"/>
  <c r="EV62" i="1"/>
  <c r="EV63" i="1"/>
  <c r="EV64" i="1"/>
  <c r="EV65" i="1"/>
  <c r="EV66" i="1"/>
  <c r="EV67" i="1"/>
  <c r="EV68" i="1"/>
  <c r="EV69" i="1"/>
  <c r="EV70" i="1"/>
  <c r="EK2" i="1"/>
  <c r="EK3" i="1"/>
  <c r="EK4" i="1"/>
  <c r="EK5" i="1"/>
  <c r="EK6" i="1"/>
  <c r="EK7" i="1"/>
  <c r="EK8" i="1"/>
  <c r="EK9" i="1"/>
  <c r="EK10" i="1"/>
  <c r="EK11" i="1"/>
  <c r="EK12" i="1"/>
  <c r="EK13" i="1"/>
  <c r="EK14" i="1"/>
  <c r="EK15" i="1"/>
  <c r="EK16" i="1"/>
  <c r="EK17" i="1"/>
  <c r="EK18" i="1"/>
  <c r="EK19" i="1"/>
  <c r="EK20" i="1"/>
  <c r="EK21" i="1"/>
  <c r="EK22" i="1"/>
  <c r="EK23" i="1"/>
  <c r="EK24" i="1"/>
  <c r="EK25" i="1"/>
  <c r="EK26" i="1"/>
  <c r="EK27" i="1"/>
  <c r="EK28" i="1"/>
  <c r="EK29" i="1"/>
  <c r="EK30" i="1"/>
  <c r="EK31" i="1"/>
  <c r="EK32" i="1"/>
  <c r="EK33" i="1"/>
  <c r="EK34" i="1"/>
  <c r="EK35" i="1"/>
  <c r="EK36" i="1"/>
  <c r="EK37" i="1"/>
  <c r="EK38" i="1"/>
  <c r="EK39" i="1"/>
  <c r="EK40" i="1"/>
  <c r="EK41" i="1"/>
  <c r="EK42" i="1"/>
  <c r="EK43" i="1"/>
  <c r="EK44" i="1"/>
  <c r="EK45" i="1"/>
  <c r="EK46" i="1"/>
  <c r="EK47" i="1"/>
  <c r="EK48" i="1"/>
  <c r="EK49" i="1"/>
  <c r="EK50" i="1"/>
  <c r="EK51" i="1"/>
  <c r="EK52" i="1"/>
  <c r="EK53" i="1"/>
  <c r="EK54" i="1"/>
  <c r="EK55" i="1"/>
  <c r="EK56" i="1"/>
  <c r="EK57" i="1"/>
  <c r="EK58" i="1"/>
  <c r="EK59" i="1"/>
  <c r="EK60" i="1"/>
  <c r="EK61" i="1"/>
  <c r="EK62" i="1"/>
  <c r="EK63" i="1"/>
  <c r="EK64" i="1"/>
  <c r="EK65" i="1"/>
  <c r="EK66" i="1"/>
  <c r="EK67" i="1"/>
  <c r="EK68" i="1"/>
  <c r="EK69" i="1"/>
  <c r="EK70" i="1"/>
  <c r="DZ2" i="1"/>
  <c r="DZ3" i="1"/>
  <c r="DZ4" i="1"/>
  <c r="DZ5" i="1"/>
  <c r="DZ6" i="1"/>
  <c r="DZ7" i="1"/>
  <c r="DZ8" i="1"/>
  <c r="DZ9" i="1"/>
  <c r="DZ10" i="1"/>
  <c r="DZ11" i="1"/>
  <c r="DZ12" i="1"/>
  <c r="DZ13" i="1"/>
  <c r="DZ14" i="1"/>
  <c r="DZ15" i="1"/>
  <c r="DZ16" i="1"/>
  <c r="DZ17" i="1"/>
  <c r="DZ18" i="1"/>
  <c r="DZ19" i="1"/>
  <c r="DZ20" i="1"/>
  <c r="DZ21" i="1"/>
  <c r="DZ22" i="1"/>
  <c r="DZ23" i="1"/>
  <c r="DZ24" i="1"/>
  <c r="DZ25" i="1"/>
  <c r="DZ26" i="1"/>
  <c r="DZ27" i="1"/>
  <c r="DZ28" i="1"/>
  <c r="DZ29" i="1"/>
  <c r="DZ30" i="1"/>
  <c r="DZ31" i="1"/>
  <c r="DZ32" i="1"/>
  <c r="DZ33" i="1"/>
  <c r="DZ34" i="1"/>
  <c r="DZ35" i="1"/>
  <c r="DZ36" i="1"/>
  <c r="DZ37" i="1"/>
  <c r="DZ38" i="1"/>
  <c r="DZ39" i="1"/>
  <c r="DZ40" i="1"/>
  <c r="DZ41" i="1"/>
  <c r="DZ42" i="1"/>
  <c r="DZ43" i="1"/>
  <c r="DZ44" i="1"/>
  <c r="DZ45" i="1"/>
  <c r="DZ46" i="1"/>
  <c r="DZ47" i="1"/>
  <c r="DZ48" i="1"/>
  <c r="DZ49" i="1"/>
  <c r="DZ50" i="1"/>
  <c r="DZ51" i="1"/>
  <c r="DZ52" i="1"/>
  <c r="DZ53" i="1"/>
  <c r="DZ54" i="1"/>
  <c r="DZ55" i="1"/>
  <c r="DZ56" i="1"/>
  <c r="DZ57" i="1"/>
  <c r="DZ58" i="1"/>
  <c r="DZ59" i="1"/>
  <c r="DZ60" i="1"/>
  <c r="DZ61" i="1"/>
  <c r="DZ62" i="1"/>
  <c r="DZ63" i="1"/>
  <c r="DZ64" i="1"/>
  <c r="DZ65" i="1"/>
  <c r="DZ66" i="1"/>
  <c r="DZ67" i="1"/>
  <c r="DZ68" i="1"/>
  <c r="DZ69" i="1"/>
  <c r="DZ70" i="1"/>
  <c r="DO2" i="1"/>
  <c r="DO3" i="1"/>
  <c r="DO4" i="1"/>
  <c r="DO5" i="1"/>
  <c r="DO6" i="1"/>
  <c r="DO7" i="1"/>
  <c r="DO8" i="1"/>
  <c r="DO9" i="1"/>
  <c r="DO10" i="1"/>
  <c r="DO11" i="1"/>
  <c r="DO12" i="1"/>
  <c r="DO13" i="1"/>
  <c r="DO14" i="1"/>
  <c r="DO15" i="1"/>
  <c r="DO16" i="1"/>
  <c r="DO17" i="1"/>
  <c r="DO18" i="1"/>
  <c r="DO19" i="1"/>
  <c r="DO20" i="1"/>
  <c r="DO21" i="1"/>
  <c r="DO22" i="1"/>
  <c r="DO23" i="1"/>
  <c r="DO24" i="1"/>
  <c r="DO25" i="1"/>
  <c r="DO26" i="1"/>
  <c r="DO27" i="1"/>
  <c r="DO28" i="1"/>
  <c r="DO29" i="1"/>
  <c r="DO30" i="1"/>
  <c r="DO31" i="1"/>
  <c r="DO32" i="1"/>
  <c r="DO33" i="1"/>
  <c r="DO34" i="1"/>
  <c r="DO35" i="1"/>
  <c r="DO36" i="1"/>
  <c r="DO37" i="1"/>
  <c r="DO38" i="1"/>
  <c r="DO39" i="1"/>
  <c r="DO40" i="1"/>
  <c r="DO41" i="1"/>
  <c r="DO42" i="1"/>
  <c r="DO43" i="1"/>
  <c r="DO44" i="1"/>
  <c r="DO45" i="1"/>
  <c r="DO46" i="1"/>
  <c r="DO47" i="1"/>
  <c r="DO48" i="1"/>
  <c r="DO49" i="1"/>
  <c r="DO50" i="1"/>
  <c r="DO51" i="1"/>
  <c r="DO52" i="1"/>
  <c r="DO53" i="1"/>
  <c r="DO54" i="1"/>
  <c r="DO55" i="1"/>
  <c r="DO56" i="1"/>
  <c r="DO57" i="1"/>
  <c r="DO58" i="1"/>
  <c r="DO59" i="1"/>
  <c r="DO60" i="1"/>
  <c r="DO61" i="1"/>
  <c r="DO62" i="1"/>
  <c r="DO63" i="1"/>
  <c r="DO64" i="1"/>
  <c r="DO65" i="1"/>
  <c r="DO66" i="1"/>
  <c r="DO67" i="1"/>
  <c r="DO68" i="1"/>
  <c r="DO69" i="1"/>
  <c r="DO70" i="1"/>
  <c r="DD2" i="1"/>
  <c r="DD3" i="1"/>
  <c r="DD4" i="1"/>
  <c r="DD5" i="1"/>
  <c r="CS5" i="1" s="1"/>
  <c r="DD6" i="1"/>
  <c r="DD7" i="1"/>
  <c r="DD8" i="1"/>
  <c r="CS8" i="1" s="1"/>
  <c r="DD9" i="1"/>
  <c r="DD10" i="1"/>
  <c r="CS10" i="1" s="1"/>
  <c r="DD11" i="1"/>
  <c r="DD12" i="1"/>
  <c r="DD13" i="1"/>
  <c r="DD14" i="1"/>
  <c r="DD15" i="1"/>
  <c r="DD16" i="1"/>
  <c r="DD17" i="1"/>
  <c r="DD18" i="1"/>
  <c r="DD19" i="1"/>
  <c r="DD20" i="1"/>
  <c r="DD21" i="1"/>
  <c r="DD22" i="1"/>
  <c r="DD23" i="1"/>
  <c r="DD24" i="1"/>
  <c r="DD25" i="1"/>
  <c r="DD26" i="1"/>
  <c r="DD27" i="1"/>
  <c r="DD28" i="1"/>
  <c r="DD29" i="1"/>
  <c r="DD30" i="1"/>
  <c r="DD31" i="1"/>
  <c r="DD32" i="1"/>
  <c r="DD33" i="1"/>
  <c r="DD34" i="1"/>
  <c r="DD35" i="1"/>
  <c r="DD36" i="1"/>
  <c r="DD37" i="1"/>
  <c r="DD38" i="1"/>
  <c r="DD39" i="1"/>
  <c r="DD40" i="1"/>
  <c r="DD41" i="1"/>
  <c r="DD42" i="1"/>
  <c r="DD43" i="1"/>
  <c r="DD44" i="1"/>
  <c r="DD45" i="1"/>
  <c r="DD46" i="1"/>
  <c r="DD47" i="1"/>
  <c r="DD48" i="1"/>
  <c r="DD49" i="1"/>
  <c r="DD50" i="1"/>
  <c r="DD51" i="1"/>
  <c r="DD52" i="1"/>
  <c r="DD53" i="1"/>
  <c r="DD54" i="1"/>
  <c r="DD55" i="1"/>
  <c r="DD56" i="1"/>
  <c r="DD57" i="1"/>
  <c r="DD58" i="1"/>
  <c r="DD59" i="1"/>
  <c r="DD60" i="1"/>
  <c r="CS60" i="1" s="1"/>
  <c r="DD61" i="1"/>
  <c r="DD62" i="1"/>
  <c r="CS62" i="1" s="1"/>
  <c r="DD63" i="1"/>
  <c r="DD64" i="1"/>
  <c r="DD65" i="1"/>
  <c r="CS65" i="1" s="1"/>
  <c r="DD66" i="1"/>
  <c r="DD67" i="1"/>
  <c r="DD68" i="1"/>
  <c r="CS68" i="1" s="1"/>
  <c r="DD69" i="1"/>
  <c r="CS69" i="1" s="1"/>
  <c r="DD70" i="1"/>
  <c r="CS3" i="1"/>
  <c r="CS4" i="1"/>
  <c r="CS6" i="1"/>
  <c r="CS7" i="1"/>
  <c r="CS9" i="1"/>
  <c r="CH2" i="1"/>
  <c r="CH3" i="1"/>
  <c r="CH4" i="1"/>
  <c r="CH5" i="1"/>
  <c r="CH6" i="1"/>
  <c r="CH7" i="1"/>
  <c r="CH8" i="1"/>
  <c r="CH9" i="1"/>
  <c r="CH10" i="1"/>
  <c r="CH11" i="1"/>
  <c r="CH12" i="1"/>
  <c r="CH13" i="1"/>
  <c r="CH14" i="1"/>
  <c r="CH15" i="1"/>
  <c r="CH16" i="1"/>
  <c r="CH17" i="1"/>
  <c r="CH18" i="1"/>
  <c r="CH19" i="1"/>
  <c r="CH20" i="1"/>
  <c r="CH21" i="1"/>
  <c r="CH22" i="1"/>
  <c r="CH23" i="1"/>
  <c r="CH24" i="1"/>
  <c r="CH25" i="1"/>
  <c r="CH26" i="1"/>
  <c r="CH27" i="1"/>
  <c r="CH28" i="1"/>
  <c r="CH29" i="1"/>
  <c r="CH30" i="1"/>
  <c r="CH31" i="1"/>
  <c r="CH32" i="1"/>
  <c r="CH33" i="1"/>
  <c r="CH34" i="1"/>
  <c r="CH35" i="1"/>
  <c r="CH36" i="1"/>
  <c r="CH37" i="1"/>
  <c r="CH38" i="1"/>
  <c r="CH39" i="1"/>
  <c r="CH40" i="1"/>
  <c r="CH41" i="1"/>
  <c r="CH42" i="1"/>
  <c r="CH43" i="1"/>
  <c r="CH44" i="1"/>
  <c r="CH45" i="1"/>
  <c r="CH46" i="1"/>
  <c r="CH47" i="1"/>
  <c r="CH48" i="1"/>
  <c r="CH49" i="1"/>
  <c r="CH50" i="1"/>
  <c r="CH51" i="1"/>
  <c r="CH52" i="1"/>
  <c r="CH53" i="1"/>
  <c r="CH54" i="1"/>
  <c r="CH55" i="1"/>
  <c r="CH56" i="1"/>
  <c r="CH57" i="1"/>
  <c r="CH58" i="1"/>
  <c r="CH59" i="1"/>
  <c r="CH60" i="1"/>
  <c r="CH61" i="1"/>
  <c r="CH62" i="1"/>
  <c r="CH63" i="1"/>
  <c r="CH64" i="1"/>
  <c r="CH65" i="1"/>
  <c r="CH66" i="1"/>
  <c r="CH67" i="1"/>
  <c r="CH68" i="1"/>
  <c r="CH69" i="1"/>
  <c r="CH70" i="1"/>
  <c r="BW2" i="1"/>
  <c r="BW3" i="1"/>
  <c r="BW4" i="1"/>
  <c r="BW5" i="1"/>
  <c r="BW6" i="1"/>
  <c r="BW7" i="1"/>
  <c r="BW8" i="1"/>
  <c r="BW9" i="1"/>
  <c r="BW10" i="1"/>
  <c r="BW11" i="1"/>
  <c r="BW12" i="1"/>
  <c r="BW13" i="1"/>
  <c r="BW14" i="1"/>
  <c r="BW15" i="1"/>
  <c r="BW16" i="1"/>
  <c r="BW17" i="1"/>
  <c r="BW18" i="1"/>
  <c r="BW19" i="1"/>
  <c r="BW20" i="1"/>
  <c r="BW21" i="1"/>
  <c r="BW22" i="1"/>
  <c r="BW23" i="1"/>
  <c r="BW24" i="1"/>
  <c r="BW25" i="1"/>
  <c r="BW26" i="1"/>
  <c r="BW27" i="1"/>
  <c r="BW28" i="1"/>
  <c r="BW29" i="1"/>
  <c r="BW30" i="1"/>
  <c r="BW31" i="1"/>
  <c r="BW32" i="1"/>
  <c r="BW33" i="1"/>
  <c r="BW34" i="1"/>
  <c r="BW35" i="1"/>
  <c r="BW36" i="1"/>
  <c r="BW37" i="1"/>
  <c r="BW38" i="1"/>
  <c r="BW39" i="1"/>
  <c r="BW40" i="1"/>
  <c r="BW41" i="1"/>
  <c r="BW42" i="1"/>
  <c r="BW43" i="1"/>
  <c r="BW44" i="1"/>
  <c r="BW45" i="1"/>
  <c r="BW46" i="1"/>
  <c r="BW47" i="1"/>
  <c r="BW48" i="1"/>
  <c r="BW49" i="1"/>
  <c r="BW50" i="1"/>
  <c r="BW51" i="1"/>
  <c r="BW52" i="1"/>
  <c r="BW53" i="1"/>
  <c r="BW54" i="1"/>
  <c r="BW55" i="1"/>
  <c r="BW56" i="1"/>
  <c r="BW57" i="1"/>
  <c r="BW58" i="1"/>
  <c r="BW59" i="1"/>
  <c r="BW60" i="1"/>
  <c r="BW61" i="1"/>
  <c r="BW62" i="1"/>
  <c r="BW63" i="1"/>
  <c r="BW64" i="1"/>
  <c r="BW65" i="1"/>
  <c r="BW66" i="1"/>
  <c r="BW67" i="1"/>
  <c r="BW68" i="1"/>
  <c r="BW69" i="1"/>
  <c r="BW70" i="1"/>
  <c r="BL2" i="1"/>
  <c r="BL3" i="1"/>
  <c r="BL4" i="1"/>
  <c r="BL5" i="1"/>
  <c r="BL6" i="1"/>
  <c r="BL7" i="1"/>
  <c r="BL8" i="1"/>
  <c r="BL9" i="1"/>
  <c r="BL10" i="1"/>
  <c r="BL11" i="1"/>
  <c r="BL12" i="1"/>
  <c r="BL13" i="1"/>
  <c r="BL14" i="1"/>
  <c r="BL15" i="1"/>
  <c r="BL16" i="1"/>
  <c r="BL17" i="1"/>
  <c r="BL18" i="1"/>
  <c r="BL19" i="1"/>
  <c r="BL20" i="1"/>
  <c r="BL21" i="1"/>
  <c r="BL22" i="1"/>
  <c r="BL23" i="1"/>
  <c r="BL24" i="1"/>
  <c r="BL25" i="1"/>
  <c r="BL26" i="1"/>
  <c r="BL27" i="1"/>
  <c r="BL28" i="1"/>
  <c r="BL29" i="1"/>
  <c r="BL30" i="1"/>
  <c r="BL31" i="1"/>
  <c r="BL32" i="1"/>
  <c r="BL33" i="1"/>
  <c r="BL34" i="1"/>
  <c r="BL35" i="1"/>
  <c r="BL36" i="1"/>
  <c r="BL37" i="1"/>
  <c r="BL38" i="1"/>
  <c r="BL39" i="1"/>
  <c r="BL40" i="1"/>
  <c r="BL41" i="1"/>
  <c r="BL42" i="1"/>
  <c r="BL43" i="1"/>
  <c r="BL44" i="1"/>
  <c r="BL45" i="1"/>
  <c r="BL46" i="1"/>
  <c r="BL47" i="1"/>
  <c r="BL48" i="1"/>
  <c r="BL49" i="1"/>
  <c r="BL50" i="1"/>
  <c r="BL51" i="1"/>
  <c r="BL52" i="1"/>
  <c r="BL53" i="1"/>
  <c r="BL54" i="1"/>
  <c r="BL55" i="1"/>
  <c r="BL56" i="1"/>
  <c r="BL57" i="1"/>
  <c r="BL58" i="1"/>
  <c r="BL59" i="1"/>
  <c r="BL60" i="1"/>
  <c r="BL61" i="1"/>
  <c r="BL62" i="1"/>
  <c r="BL63" i="1"/>
  <c r="BL64" i="1"/>
  <c r="BL65" i="1"/>
  <c r="BL66" i="1"/>
  <c r="BL67" i="1"/>
  <c r="BL68" i="1"/>
  <c r="BL69" i="1"/>
  <c r="BL70" i="1"/>
  <c r="BA2" i="1"/>
  <c r="BA3" i="1"/>
  <c r="BA4" i="1"/>
  <c r="BA5" i="1"/>
  <c r="BA6" i="1"/>
  <c r="BA7" i="1"/>
  <c r="BA8" i="1"/>
  <c r="BA9" i="1"/>
  <c r="BA10" i="1"/>
  <c r="BA11" i="1"/>
  <c r="CS11" i="1" s="1"/>
  <c r="BA12" i="1"/>
  <c r="BA13" i="1"/>
  <c r="BA14" i="1"/>
  <c r="BA15" i="1"/>
  <c r="BA16" i="1"/>
  <c r="BA17" i="1"/>
  <c r="BA18" i="1"/>
  <c r="BA19" i="1"/>
  <c r="BA20" i="1"/>
  <c r="BA21" i="1"/>
  <c r="BA22" i="1"/>
  <c r="CS22" i="1" s="1"/>
  <c r="BA23" i="1"/>
  <c r="CS23" i="1" s="1"/>
  <c r="BA24" i="1"/>
  <c r="CS24" i="1" s="1"/>
  <c r="BA25" i="1"/>
  <c r="BA26" i="1"/>
  <c r="BA27" i="1"/>
  <c r="BA28" i="1"/>
  <c r="BA29" i="1"/>
  <c r="BA30" i="1"/>
  <c r="BA31" i="1"/>
  <c r="BA32" i="1"/>
  <c r="BA33" i="1"/>
  <c r="BA34" i="1"/>
  <c r="CS34" i="1" s="1"/>
  <c r="BA35" i="1"/>
  <c r="CS35" i="1" s="1"/>
  <c r="BA36" i="1"/>
  <c r="CS36" i="1" s="1"/>
  <c r="BA37" i="1"/>
  <c r="BA38" i="1"/>
  <c r="BA39" i="1"/>
  <c r="BA40" i="1"/>
  <c r="BA41" i="1"/>
  <c r="BA42" i="1"/>
  <c r="BA43" i="1"/>
  <c r="BA44" i="1"/>
  <c r="BA45" i="1"/>
  <c r="BA46" i="1"/>
  <c r="CS46" i="1" s="1"/>
  <c r="BA47" i="1"/>
  <c r="CS47" i="1" s="1"/>
  <c r="BA48" i="1"/>
  <c r="CS48" i="1" s="1"/>
  <c r="BA49" i="1"/>
  <c r="BA50" i="1"/>
  <c r="BA51" i="1"/>
  <c r="BA52" i="1"/>
  <c r="BA53" i="1"/>
  <c r="BA54" i="1"/>
  <c r="BA55" i="1"/>
  <c r="BA56" i="1"/>
  <c r="BA57" i="1"/>
  <c r="BA58" i="1"/>
  <c r="CS58" i="1" s="1"/>
  <c r="BA59" i="1"/>
  <c r="CS59" i="1" s="1"/>
  <c r="BA60" i="1"/>
  <c r="BA61" i="1"/>
  <c r="CS61" i="1" s="1"/>
  <c r="BA62" i="1"/>
  <c r="BA63" i="1"/>
  <c r="CS63" i="1" s="1"/>
  <c r="BA64" i="1"/>
  <c r="CS64" i="1" s="1"/>
  <c r="BA65" i="1"/>
  <c r="BA66" i="1"/>
  <c r="CS66" i="1" s="1"/>
  <c r="BA67" i="1"/>
  <c r="CS67" i="1" s="1"/>
  <c r="BA68" i="1"/>
  <c r="BA69" i="1"/>
  <c r="BA70" i="1"/>
  <c r="CS70" i="1" s="1"/>
  <c r="AP2" i="1"/>
  <c r="AP3" i="1"/>
  <c r="AP4" i="1"/>
  <c r="AP5" i="1"/>
  <c r="AP6" i="1"/>
  <c r="AP7" i="1"/>
  <c r="AP8" i="1"/>
  <c r="AP9" i="1"/>
  <c r="AP10" i="1"/>
  <c r="AP11" i="1"/>
  <c r="AP12" i="1"/>
  <c r="AP13" i="1"/>
  <c r="AP14" i="1"/>
  <c r="AP15" i="1"/>
  <c r="AP16" i="1"/>
  <c r="AP17" i="1"/>
  <c r="AP18" i="1"/>
  <c r="AP19" i="1"/>
  <c r="AP20" i="1"/>
  <c r="AP21" i="1"/>
  <c r="AP22" i="1"/>
  <c r="AP23" i="1"/>
  <c r="AP24" i="1"/>
  <c r="AP25" i="1"/>
  <c r="AP26" i="1"/>
  <c r="AP27" i="1"/>
  <c r="AP28" i="1"/>
  <c r="AP29" i="1"/>
  <c r="AP30" i="1"/>
  <c r="AP31" i="1"/>
  <c r="AP32" i="1"/>
  <c r="AP33" i="1"/>
  <c r="AP34" i="1"/>
  <c r="AP35" i="1"/>
  <c r="AP36" i="1"/>
  <c r="AP37" i="1"/>
  <c r="AP38" i="1"/>
  <c r="AP39" i="1"/>
  <c r="AP40" i="1"/>
  <c r="AP41" i="1"/>
  <c r="AP42" i="1"/>
  <c r="AP43" i="1"/>
  <c r="AP44" i="1"/>
  <c r="AP45" i="1"/>
  <c r="AP46" i="1"/>
  <c r="AP47" i="1"/>
  <c r="AP48" i="1"/>
  <c r="AP49" i="1"/>
  <c r="AP50" i="1"/>
  <c r="AP51" i="1"/>
  <c r="AP52" i="1"/>
  <c r="AP53" i="1"/>
  <c r="AP54" i="1"/>
  <c r="AP55" i="1"/>
  <c r="AP56" i="1"/>
  <c r="AP57" i="1"/>
  <c r="AP58" i="1"/>
  <c r="AP59" i="1"/>
  <c r="AP60" i="1"/>
  <c r="AP61" i="1"/>
  <c r="AP62" i="1"/>
  <c r="AP63" i="1"/>
  <c r="AP64" i="1"/>
  <c r="AP65" i="1"/>
  <c r="AP66" i="1"/>
  <c r="AP67" i="1"/>
  <c r="AP68" i="1"/>
  <c r="AP69" i="1"/>
  <c r="AP70" i="1"/>
  <c r="AE2" i="1"/>
  <c r="AE3" i="1"/>
  <c r="AE4" i="1"/>
  <c r="AE5" i="1"/>
  <c r="AE6" i="1"/>
  <c r="AE7" i="1"/>
  <c r="AE8" i="1"/>
  <c r="AE9" i="1"/>
  <c r="AE10" i="1"/>
  <c r="AE11" i="1"/>
  <c r="AE12" i="1"/>
  <c r="AE13" i="1"/>
  <c r="AE14" i="1"/>
  <c r="AE15" i="1"/>
  <c r="AE16" i="1"/>
  <c r="AE17" i="1"/>
  <c r="AE18" i="1"/>
  <c r="AE19" i="1"/>
  <c r="AE20" i="1"/>
  <c r="AE21" i="1"/>
  <c r="AE22" i="1"/>
  <c r="AE23" i="1"/>
  <c r="AE24" i="1"/>
  <c r="AE25" i="1"/>
  <c r="AE26" i="1"/>
  <c r="AE27" i="1"/>
  <c r="AE28" i="1"/>
  <c r="AE29" i="1"/>
  <c r="AE30" i="1"/>
  <c r="AE31" i="1"/>
  <c r="AE32" i="1"/>
  <c r="AE33" i="1"/>
  <c r="AE34" i="1"/>
  <c r="AE35" i="1"/>
  <c r="AE36" i="1"/>
  <c r="AE37" i="1"/>
  <c r="AE38" i="1"/>
  <c r="AE39" i="1"/>
  <c r="AE40" i="1"/>
  <c r="AE41" i="1"/>
  <c r="AE42" i="1"/>
  <c r="AE43" i="1"/>
  <c r="AE44" i="1"/>
  <c r="AE45" i="1"/>
  <c r="AE46" i="1"/>
  <c r="AE47" i="1"/>
  <c r="AE48" i="1"/>
  <c r="AE49" i="1"/>
  <c r="AE50" i="1"/>
  <c r="AE51" i="1"/>
  <c r="AE52" i="1"/>
  <c r="AE53" i="1"/>
  <c r="AE54" i="1"/>
  <c r="AE55" i="1"/>
  <c r="AE56" i="1"/>
  <c r="AE57" i="1"/>
  <c r="AE58" i="1"/>
  <c r="AE59" i="1"/>
  <c r="AE60" i="1"/>
  <c r="AE61" i="1"/>
  <c r="AE62" i="1"/>
  <c r="AE63" i="1"/>
  <c r="AE64" i="1"/>
  <c r="AE65" i="1"/>
  <c r="AE66" i="1"/>
  <c r="AE67" i="1"/>
  <c r="AE68" i="1"/>
  <c r="AE69" i="1"/>
  <c r="AE70" i="1"/>
  <c r="T2" i="1"/>
  <c r="T3" i="1"/>
  <c r="T4" i="1"/>
  <c r="T5" i="1"/>
  <c r="T6" i="1"/>
  <c r="T7" i="1"/>
  <c r="T8" i="1"/>
  <c r="T9" i="1"/>
  <c r="T10" i="1"/>
  <c r="T11" i="1"/>
  <c r="T12" i="1"/>
  <c r="T13" i="1"/>
  <c r="T14" i="1"/>
  <c r="T15" i="1"/>
  <c r="T16" i="1"/>
  <c r="T17" i="1"/>
  <c r="T18"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66" i="1"/>
  <c r="T67" i="1"/>
  <c r="T68" i="1"/>
  <c r="T69" i="1"/>
  <c r="T70" i="1"/>
  <c r="I2" i="1"/>
  <c r="I3" i="1"/>
  <c r="I4" i="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B2" i="1"/>
  <c r="B3" i="1"/>
  <c r="B4" i="1"/>
  <c r="B5" i="1"/>
  <c r="B6" i="1"/>
  <c r="B7" i="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ZZ2" i="38"/>
  <c r="ZZ2" i="40"/>
  <c r="ZZ3" i="40"/>
  <c r="ZZ4" i="40"/>
  <c r="ZZ5" i="40"/>
  <c r="ZZ6" i="40"/>
  <c r="ZZ7" i="40"/>
  <c r="ZZ8" i="40"/>
  <c r="ZZ9" i="40"/>
  <c r="ZZ10" i="40"/>
  <c r="ZZ11" i="40"/>
  <c r="ZZ12" i="40"/>
  <c r="ZZ13" i="40"/>
  <c r="ZZ14" i="40"/>
  <c r="ZZ15" i="40"/>
  <c r="ZZ16" i="40"/>
  <c r="ZZ17" i="40"/>
  <c r="ZZ18" i="40"/>
  <c r="ZZ19" i="40"/>
  <c r="ZZ20" i="40"/>
  <c r="ZZ21" i="40"/>
  <c r="ZZ22" i="40"/>
  <c r="ZZ23" i="40"/>
  <c r="ZZ24" i="40"/>
  <c r="ZZ25" i="40"/>
  <c r="ZZ26" i="40"/>
  <c r="ZZ27" i="40"/>
  <c r="ZZ28" i="40"/>
  <c r="ZZ29" i="40"/>
  <c r="ZZ30" i="40"/>
  <c r="ZZ31" i="40"/>
  <c r="ZZ32" i="40"/>
  <c r="ZZ33" i="40"/>
  <c r="ZZ34" i="40"/>
  <c r="ZZ35" i="40"/>
  <c r="ZZ36" i="40"/>
  <c r="ZZ37" i="40"/>
  <c r="ZZ38" i="40"/>
  <c r="ZZ39" i="40"/>
  <c r="ZZ40" i="40"/>
  <c r="ZZ41" i="40"/>
  <c r="ZZ42" i="40"/>
  <c r="ZZ43" i="40"/>
  <c r="ZZ44" i="40"/>
  <c r="ZZ45" i="40"/>
  <c r="ZZ46" i="40"/>
  <c r="ZZ47" i="40"/>
  <c r="ZZ48" i="40"/>
  <c r="ZZ49" i="40"/>
  <c r="ZZ50" i="40"/>
  <c r="ZZ51" i="40"/>
  <c r="ZZ52" i="40"/>
  <c r="ZZ53" i="40"/>
  <c r="ZZ54" i="40"/>
  <c r="ZZ55" i="40"/>
  <c r="ZZ56" i="40"/>
  <c r="ZZ57" i="40"/>
  <c r="ZZ58" i="40"/>
  <c r="ZZ59" i="40"/>
  <c r="ZZ60" i="40"/>
  <c r="ZZ137" i="39"/>
  <c r="ZZ138" i="39"/>
  <c r="ZZ139" i="39"/>
  <c r="ZZ140" i="39"/>
  <c r="ZZ141" i="39"/>
  <c r="ZZ142" i="39"/>
  <c r="ZZ2" i="32"/>
  <c r="ZZ3" i="32"/>
  <c r="ZZ4" i="32"/>
  <c r="ZZ5" i="32"/>
  <c r="ZZ6" i="32"/>
  <c r="ZZ7" i="32"/>
  <c r="ZZ8" i="32"/>
  <c r="ZZ9" i="32"/>
  <c r="ZZ10" i="32"/>
  <c r="ZZ11" i="32"/>
  <c r="ZZ12" i="32"/>
  <c r="ZZ13" i="32"/>
  <c r="ZZ14" i="32"/>
  <c r="ZZ15" i="32"/>
  <c r="ZZ16" i="32"/>
  <c r="AAA2" i="35"/>
  <c r="ZZ2" i="35"/>
  <c r="AAC1" i="32"/>
  <c r="AAC16" i="32"/>
  <c r="AAB137" i="39"/>
  <c r="AAB138" i="39"/>
  <c r="AAB139" i="39"/>
  <c r="AAB140" i="39"/>
  <c r="AAB141" i="39"/>
  <c r="AAB142" i="39"/>
  <c r="ZY1" i="32"/>
  <c r="CS57" i="1" l="1"/>
  <c r="CS45" i="1"/>
  <c r="CS33" i="1"/>
  <c r="CS21" i="1"/>
  <c r="CS56" i="1"/>
  <c r="CS44" i="1"/>
  <c r="CS32" i="1"/>
  <c r="CS20" i="1"/>
  <c r="CS55" i="1"/>
  <c r="CS43" i="1"/>
  <c r="CS31" i="1"/>
  <c r="CS19" i="1"/>
  <c r="CS54" i="1"/>
  <c r="CS42" i="1"/>
  <c r="CS30" i="1"/>
  <c r="CS18" i="1"/>
  <c r="CS37" i="1"/>
  <c r="CS53" i="1"/>
  <c r="CS41" i="1"/>
  <c r="CS29" i="1"/>
  <c r="CS17" i="1"/>
  <c r="CS52" i="1"/>
  <c r="CS40" i="1"/>
  <c r="CS28" i="1"/>
  <c r="CS16" i="1"/>
  <c r="CS51" i="1"/>
  <c r="CS39" i="1"/>
  <c r="CS27" i="1"/>
  <c r="CS15" i="1"/>
  <c r="CS50" i="1"/>
  <c r="CS38" i="1"/>
  <c r="CS26" i="1"/>
  <c r="CS14" i="1"/>
  <c r="CS2" i="1"/>
  <c r="CS49" i="1"/>
  <c r="CS25" i="1"/>
  <c r="CS13" i="1"/>
  <c r="CS12" i="1"/>
</calcChain>
</file>

<file path=xl/sharedStrings.xml><?xml version="1.0" encoding="utf-8"?>
<sst xmlns="http://schemas.openxmlformats.org/spreadsheetml/2006/main" count="2337" uniqueCount="806">
  <si>
    <t>Internal ID</t>
  </si>
  <si>
    <t>Date Created</t>
  </si>
  <si>
    <t>Status</t>
  </si>
  <si>
    <t>Shipment Number</t>
  </si>
  <si>
    <t>Freight Forwarder</t>
  </si>
  <si>
    <t>Container Number</t>
  </si>
  <si>
    <t>House Bill of Lading</t>
  </si>
  <si>
    <t>Unique ID</t>
  </si>
  <si>
    <t>Master Bill of Lading</t>
  </si>
  <si>
    <t>Master Bill of Lading (Forwarder 1)</t>
  </si>
  <si>
    <t>Master Bill of Lading (Forwarder 2)</t>
  </si>
  <si>
    <t>Master Bill of Lading (Forwarder 3)</t>
  </si>
  <si>
    <t>Master Bill of Lading (Forwarder 4)</t>
  </si>
  <si>
    <t>Master Bill of Lading (Forwarder 5)</t>
  </si>
  <si>
    <t>Master Bill of Lading ERP</t>
  </si>
  <si>
    <t>Vessel Number</t>
  </si>
  <si>
    <t>Vessel Number ERP</t>
  </si>
  <si>
    <t>Vessel Number (Forwarder 1)</t>
  </si>
  <si>
    <t>Vessel Number (Forwarder 2)</t>
  </si>
  <si>
    <t>Vessel Number (Forwarder 3)</t>
  </si>
  <si>
    <t>Vessel Number (Forwarder 4)</t>
  </si>
  <si>
    <t>Vessel Number (Forwarder 5)</t>
  </si>
  <si>
    <t>Expected Port Date</t>
  </si>
  <si>
    <t>Expected Port Date ERP</t>
  </si>
  <si>
    <t>Expected Port Date (Forwarder 1)</t>
  </si>
  <si>
    <t>Expected Port Date (Forwarder 2)</t>
  </si>
  <si>
    <t>Expected Port Date (Forwarder 3)</t>
  </si>
  <si>
    <t>Expected Port Date (Forwarder 4)</t>
  </si>
  <si>
    <t>Expected Port Date (Forwarder 5)</t>
  </si>
  <si>
    <t>Actual Port Date</t>
  </si>
  <si>
    <t>Actual Port Date ERP</t>
  </si>
  <si>
    <t>Actual Port Date (Forwarder 1)</t>
  </si>
  <si>
    <t>Actual Port Date (Forwarder 2)</t>
  </si>
  <si>
    <t>Actual Port Date (Forwarder 3)</t>
  </si>
  <si>
    <t>Actual Port Date (Forwarder 4)</t>
  </si>
  <si>
    <t>Actual Port Date (Forwarder 5)</t>
  </si>
  <si>
    <t>Expected Delivery Date</t>
  </si>
  <si>
    <t>Expected Delivery Date ERP</t>
  </si>
  <si>
    <t>Expected Delivery Date (Forwarder 1)</t>
  </si>
  <si>
    <t>Expected Delivery Date (Forwarder 2)</t>
  </si>
  <si>
    <t>Expected Delivery Date (Forwarder 3)</t>
  </si>
  <si>
    <t>Expected Delivery Date (Forwarder 4)</t>
  </si>
  <si>
    <t>Expected Delivery Date (Forwarder 5)</t>
  </si>
  <si>
    <t>Last Free Day</t>
  </si>
  <si>
    <t>Last Free Day ERP</t>
  </si>
  <si>
    <t>Last Free Day (Forwarder 1)</t>
  </si>
  <si>
    <t>Last Free Day (Forwarder 2)</t>
  </si>
  <si>
    <t>Last Free Day (Forwarder 3)</t>
  </si>
  <si>
    <t>Last Free Day (Forwarder 4)</t>
  </si>
  <si>
    <t>Last Free Day (Forwarder 5)</t>
  </si>
  <si>
    <t>Drayage Date</t>
  </si>
  <si>
    <t>Drayage Date ERP</t>
  </si>
  <si>
    <t>Drayage Date (Forwarder 1)</t>
  </si>
  <si>
    <t>Drayage Date (Forwarder 2)</t>
  </si>
  <si>
    <t>Drayage Date (Forwarder 3)</t>
  </si>
  <si>
    <t>Drayage Date (Forwarder 4)</t>
  </si>
  <si>
    <t>Drayage Date (Forwarder 5)</t>
  </si>
  <si>
    <t>Appointment Date</t>
  </si>
  <si>
    <t>Appointment Date ERP</t>
  </si>
  <si>
    <t>Appointment Date (Forwarder 1)</t>
  </si>
  <si>
    <t>Appointment Date (Forwarder 2)</t>
  </si>
  <si>
    <t>Appointment Date (Forwarder 3)</t>
  </si>
  <si>
    <t>Appointment Date (Forwarder 4)</t>
  </si>
  <si>
    <t>Appointment Date (Forwarder 5)</t>
  </si>
  <si>
    <t>Actual Delivery Date</t>
  </si>
  <si>
    <t>Actual Delivery Date ERP</t>
  </si>
  <si>
    <t>Actual Delivery Date (Forwarder 1)</t>
  </si>
  <si>
    <t>Actual Delivery Date (Forwarder 2)</t>
  </si>
  <si>
    <t>Actual Delivery Date (Forwarder 3)</t>
  </si>
  <si>
    <t>Actual Delivery Date (Forwarder 4)</t>
  </si>
  <si>
    <t>Actual Delivery Date (Forwarder 5)</t>
  </si>
  <si>
    <t>Empty Ready Date</t>
  </si>
  <si>
    <t>Empty Ready Date ERP</t>
  </si>
  <si>
    <t>Empty Ready Date (Forwarder 1)</t>
  </si>
  <si>
    <t>Empty Ready Date (Forwarder 2)</t>
  </si>
  <si>
    <t>Empty Ready Date (Forwarder 3)</t>
  </si>
  <si>
    <t>Empty Ready Date (Forwarder 4)</t>
  </si>
  <si>
    <t>Empty Ready Date (Forwarder 5)</t>
  </si>
  <si>
    <t>Delivery Type</t>
  </si>
  <si>
    <t>Delivery Type ERP</t>
  </si>
  <si>
    <t>Delivery Type (Forwarder 1)</t>
  </si>
  <si>
    <t>Delivery Type (Forwarder 2)</t>
  </si>
  <si>
    <t>Delivery Type (Forwarder 3)</t>
  </si>
  <si>
    <t>Delivery Type (Forwarder 4)</t>
  </si>
  <si>
    <t>Delivery Type (Forwarder 5)</t>
  </si>
  <si>
    <t>Empty Pickup Date</t>
  </si>
  <si>
    <t>Empty Pickup Date ERP</t>
  </si>
  <si>
    <t>Empty Pickup Date (Forwarder 1)</t>
  </si>
  <si>
    <t>Empty Pickup Date (Forwarder 2)</t>
  </si>
  <si>
    <t>Empty Pickup Date (Forwarder 3)</t>
  </si>
  <si>
    <t>Empty Pickup Date (Forwarder 4)</t>
  </si>
  <si>
    <t>Empty Pickup Date (Forwarder 5)</t>
  </si>
  <si>
    <t>Empty Return Date</t>
  </si>
  <si>
    <t>Empty Return Date ERP</t>
  </si>
  <si>
    <t>Empty Return Date (Forwarder 1)</t>
  </si>
  <si>
    <t>Empty Return Date (Forwarder 2)</t>
  </si>
  <si>
    <t>Empty Return Date (Forwarder 3)</t>
  </si>
  <si>
    <t>Empty Return Date (Forwarder 4)</t>
  </si>
  <si>
    <t>Empty Return Date (Forwarder 5)</t>
  </si>
  <si>
    <t>Priority Level</t>
  </si>
  <si>
    <t>Source</t>
  </si>
  <si>
    <t>ERP</t>
  </si>
  <si>
    <t>The data the forwarders provide will have different column structures but we will make sure the header names are the same</t>
  </si>
  <si>
    <t>The unique ID value should be automatically generated by the solution by concatenating the Container Number and House Bill of Lading</t>
  </si>
  <si>
    <t>If we add new forwarders we should be able to easily add a new sheet and add their priority to the list and begin pulling data for them</t>
  </si>
  <si>
    <t>All dates must be in the format MM/DD/YY</t>
  </si>
  <si>
    <t>All irregular spacing should be removed from every cell (no leading or following spaces) prior to trying to match the unique ID value from the forwarder shet to the master sheet</t>
  </si>
  <si>
    <t>The flow of information will begin with us pasting in the export from the ERP into the ERP sheet</t>
  </si>
  <si>
    <t>We will then paste the information for each forwarder</t>
  </si>
  <si>
    <t>Upon a button click, all of the unique ID values should populate and the rows in the Master Sheet should be generated by using the data in the ERP sheet, following this the matching process should begin to pull over the data from each ERP sheet and then determining the final value based on the set priority</t>
  </si>
  <si>
    <t>If new forwarders are added, all of the columns required for that forwarder should be automatically added to the Master Sheet and ordered by priority level</t>
  </si>
  <si>
    <t>Field Priority Levels</t>
  </si>
  <si>
    <t>Source Priority Levels</t>
  </si>
  <si>
    <t>Priority can be set by two methods, at the Source Level and at the Field Level</t>
  </si>
  <si>
    <t>The solution should check the Field Level priority first, however, if there are no values in the Field Level it should use the default priority set at the Source Level</t>
  </si>
  <si>
    <t>The priority sheet will list out all of the data sources as well as all of the fields. The data sources should be used from here to automatically create the sheets and the fields should be used to create the columns on the sheets</t>
  </si>
  <si>
    <t>(The priority order here is the default value if the priority is not set at the field level below)</t>
  </si>
  <si>
    <t/>
  </si>
  <si>
    <t>SL</t>
  </si>
  <si>
    <t>Brief</t>
  </si>
  <si>
    <t>Description</t>
  </si>
  <si>
    <t>Create forwarder sheet</t>
  </si>
  <si>
    <t>Set Priority levels</t>
  </si>
  <si>
    <t>1. Set priority under Source Priority Levels or Column Priority Levels 
2. Note that Source Priority Levels is utilized if column priority level is blank for a column</t>
  </si>
  <si>
    <t>Add New Columns</t>
  </si>
  <si>
    <r>
      <t xml:space="preserve">1. New columns can be added under </t>
    </r>
    <r>
      <rPr>
        <b/>
        <sz val="12"/>
        <color theme="1"/>
        <rFont val="Calibri"/>
        <family val="2"/>
        <scheme val="minor"/>
      </rPr>
      <t>Column Priority Levels</t>
    </r>
    <r>
      <rPr>
        <sz val="12"/>
        <color theme="1"/>
        <rFont val="Calibri"/>
        <family val="2"/>
        <scheme val="minor"/>
      </rPr>
      <t xml:space="preserve"> section</t>
    </r>
  </si>
  <si>
    <t>Generate Master Sheet</t>
  </si>
  <si>
    <r>
      <t xml:space="preserve">1. Under the Source Priority Levels in Priority tab, Enter the new sheet name
2. Click on the button </t>
    </r>
    <r>
      <rPr>
        <b/>
        <sz val="12"/>
        <color theme="1"/>
        <rFont val="Calibri"/>
        <family val="2"/>
        <scheme val="minor"/>
      </rPr>
      <t xml:space="preserve">ReCreate Forwarder Sheets
</t>
    </r>
    <r>
      <rPr>
        <sz val="12"/>
        <color theme="1"/>
        <rFont val="Calibri"/>
        <family val="2"/>
        <scheme val="minor"/>
      </rPr>
      <t xml:space="preserve">3. CAUTION:- This will delete all the forwarder sheets and recreate them again(Forwarder sheets are identified by </t>
    </r>
    <r>
      <rPr>
        <b/>
        <sz val="12"/>
        <color theme="1"/>
        <rFont val="Calibri"/>
        <family val="2"/>
        <scheme val="minor"/>
      </rPr>
      <t>No Tab Color</t>
    </r>
    <r>
      <rPr>
        <sz val="12"/>
        <color theme="1"/>
        <rFont val="Calibri"/>
        <family val="2"/>
        <scheme val="minor"/>
      </rPr>
      <t xml:space="preserve">)
</t>
    </r>
    <r>
      <rPr>
        <b/>
        <sz val="12"/>
        <color theme="1"/>
        <rFont val="Calibri"/>
        <family val="2"/>
        <scheme val="minor"/>
      </rPr>
      <t>If its just one or two sheets, its advisable to create the sheets manually</t>
    </r>
  </si>
  <si>
    <t>1. After the above steps(As per need), you can import your data to respective tabs
2. Then click on Populate Master Sheet button to add the columns to master sheet as well as populate the data from various tabs to MasterSheet</t>
  </si>
  <si>
    <t>You mean ContainerNumber and House Bill Of Landing columns  right?</t>
  </si>
  <si>
    <t>5. Lastly, if the ERP field is the only data source for a field (none of the forwarders have any information on that field), then do NOT set the ERP value as the final field value. In this situation the final field value should be left blank so that we are not continuously reuploading the same ERP data over and over again. (This will just make the upload take longer unnecessarily) The only exception to the rule is in the expected delivery date field. If the only data available for the expected delivery date is in the ERP field and step 3 (above) applies to that entry then you should still add 10 days to that entry.</t>
  </si>
  <si>
    <t>1. All date fields should not have non-dates in them</t>
  </si>
  <si>
    <t>New Req - 21 Jan 2022</t>
  </si>
  <si>
    <t>2. Any leading or trailing spaces or odd symbols should be removed from all fields before transferring/aggregating them (ex. **10/20/2022?? Should be changed to 10/20/2022)</t>
  </si>
  <si>
    <t>3. If the final expected delivery date is in the past (before today), then add 10 to today's date and set that as the new final expected delivery date. If it is not in the past then leave the date as is.</t>
  </si>
  <si>
    <t>4. After data has been aggregated on the master sheet, If the aggregated appointment date column has a date then the expected delivery date for that entry should be replaced by the entered appointment date. (this step is done after step 3 on purpose so that even if an appointment date was in the past it will still show up as the expected delivery date)</t>
  </si>
  <si>
    <t>New Req - 22 Jan 2022</t>
  </si>
  <si>
    <t>1. Apart from the Expected Delivery Date, if final value is same as ERP, then final value should be blank</t>
  </si>
  <si>
    <t>Fix - 15-02-2022</t>
  </si>
  <si>
    <t>Fixed the issue that was related to New-Req 21 Jan 2022 #3</t>
  </si>
  <si>
    <t>New Req - 19-02-2022</t>
  </si>
  <si>
    <t>IF(Actual Port Date Exists AND Expected Delivery Date &lt; Actual Port Date, Expected Delivery Date = 10 + Actual Port Date, "")
IF(Actual Port Date Does NOT Exist AND Expected Port Date Exists AND Expected Delivery Date &lt; Expected Port Date, Expected Delivery Date = 10 + Expected Port Date, "")</t>
  </si>
  <si>
    <t>**Unique Key**</t>
  </si>
  <si>
    <t>Current Status</t>
  </si>
  <si>
    <t>Container Size</t>
  </si>
  <si>
    <t>Port of Loading</t>
  </si>
  <si>
    <t>Port of Discharge</t>
  </si>
  <si>
    <t>Last CY/CFS Location</t>
  </si>
  <si>
    <t>ETD</t>
  </si>
  <si>
    <t>Carrier</t>
  </si>
  <si>
    <t>Voyage</t>
  </si>
  <si>
    <t>New Req - 25-02-2022</t>
  </si>
  <si>
    <t>The new formula works but it only works on entries that are pulled/aggregated into the final master column (the green one). So the problem is that if we already have the expected/actual port dates in the ERP system they can still show up after the expected delivery date. I am thinking that there will need to be another if statement to defer to the ERP port date in the event that the master columns are blank for this check.</t>
  </si>
  <si>
    <t>PO No.</t>
  </si>
  <si>
    <t>ETA-Door Delivery Location</t>
  </si>
  <si>
    <t>Door Delivery Location</t>
  </si>
  <si>
    <t>Place of Receipt</t>
  </si>
  <si>
    <t>Shipper</t>
  </si>
  <si>
    <t>OEC Portal</t>
  </si>
  <si>
    <t>OEC Email</t>
  </si>
  <si>
    <t>Drayage Provider</t>
  </si>
  <si>
    <t>PO#</t>
  </si>
  <si>
    <t>DEST RAMP</t>
  </si>
  <si>
    <t>IPI ON RAIL</t>
  </si>
  <si>
    <t>RAIL ATA</t>
  </si>
  <si>
    <t>RAIL LAST FREE DAY</t>
  </si>
  <si>
    <t>FINAL ATA</t>
  </si>
  <si>
    <t>Consignee</t>
  </si>
  <si>
    <t>Booking</t>
  </si>
  <si>
    <t>Voyage Number</t>
  </si>
  <si>
    <t>Last CY/CFS</t>
  </si>
  <si>
    <t>Estimated Ship Date</t>
  </si>
  <si>
    <t>Last Free Date</t>
  </si>
  <si>
    <t>Telex</t>
  </si>
  <si>
    <t>Gate In</t>
  </si>
  <si>
    <t>Topocean</t>
  </si>
  <si>
    <t>UNIS</t>
  </si>
  <si>
    <t>DO RECEIVE DATE</t>
  </si>
  <si>
    <t>ISSUED BY</t>
  </si>
  <si>
    <t>ACCOUNT</t>
  </si>
  <si>
    <t>SSL</t>
  </si>
  <si>
    <t>SIZE</t>
  </si>
  <si>
    <t>PORT</t>
  </si>
  <si>
    <t>APPT TIME@PORT</t>
  </si>
  <si>
    <t>DeliveryAppt.Time</t>
  </si>
  <si>
    <t>NOTES</t>
  </si>
  <si>
    <t>DELIVER TO</t>
  </si>
  <si>
    <t>Outage Date</t>
  </si>
  <si>
    <t>STATUS</t>
  </si>
  <si>
    <t>RETURNED LOCATION</t>
  </si>
  <si>
    <t>**Unique Key - Shipment Number**</t>
  </si>
  <si>
    <t>Consol Carrier Place of Delivery</t>
  </si>
  <si>
    <t>Container Level PO Number</t>
  </si>
  <si>
    <t>Primary Customer Service name</t>
  </si>
  <si>
    <t>Pickup From Name</t>
  </si>
  <si>
    <t>Pickup From Address</t>
  </si>
  <si>
    <t>Pickup From City</t>
  </si>
  <si>
    <t>Pickup From State</t>
  </si>
  <si>
    <t>Departure CTO Code</t>
  </si>
  <si>
    <t>Departure CTO Name</t>
  </si>
  <si>
    <t>Departure CTO Address</t>
  </si>
  <si>
    <t>Departure CFS Code</t>
  </si>
  <si>
    <t>Departure CFS Name</t>
  </si>
  <si>
    <t>Departure CFS Address</t>
  </si>
  <si>
    <t>Pick Up Agent Code</t>
  </si>
  <si>
    <t>Pick Up Agent Name</t>
  </si>
  <si>
    <t>Delivery Agent Code</t>
  </si>
  <si>
    <t>Delivery Agent Name</t>
  </si>
  <si>
    <t>House Bill Release Details</t>
  </si>
  <si>
    <t>HBL Receive Date</t>
  </si>
  <si>
    <t>Payment Status</t>
  </si>
  <si>
    <t>Shipment Service Level Code</t>
  </si>
  <si>
    <t>Shipment Service Level Description</t>
  </si>
  <si>
    <t>Import Broker  Code</t>
  </si>
  <si>
    <t>Import Broker  Name</t>
  </si>
  <si>
    <t>Export  Broker  Code</t>
  </si>
  <si>
    <t>Export  Broker  Name</t>
  </si>
  <si>
    <t>Load Port Cutoff Date &amp; Time</t>
  </si>
  <si>
    <t>Arrival CTO Code</t>
  </si>
  <si>
    <t>Arrival CTO Name</t>
  </si>
  <si>
    <t>Arrival CTO Address</t>
  </si>
  <si>
    <t>Arrival CFS Code</t>
  </si>
  <si>
    <t>Arrival CFS Name</t>
  </si>
  <si>
    <t>Arrival CFS Address</t>
  </si>
  <si>
    <t>Transload</t>
  </si>
  <si>
    <t>Type</t>
  </si>
  <si>
    <t>TEU</t>
  </si>
  <si>
    <t>Empty Required By</t>
  </si>
  <si>
    <t>Empty Release No.</t>
  </si>
  <si>
    <t>Empty Released</t>
  </si>
  <si>
    <t>Pickup Port Trn. Advised</t>
  </si>
  <si>
    <t>Estimated Pickup</t>
  </si>
  <si>
    <t>Actual Pickup</t>
  </si>
  <si>
    <t>Dep. Slot Date</t>
  </si>
  <si>
    <t>Slot Booking Ref</t>
  </si>
  <si>
    <t>FCL Wharf Gate In</t>
  </si>
  <si>
    <t>FCL Loaded</t>
  </si>
  <si>
    <t>FCL Unload</t>
  </si>
  <si>
    <t>Available</t>
  </si>
  <si>
    <t>Storage Start</t>
  </si>
  <si>
    <t>Dlv. Cartage Advised</t>
  </si>
  <si>
    <t>Dest. Slot Date</t>
  </si>
  <si>
    <t>Wharf Gate Out</t>
  </si>
  <si>
    <t>Estimated Full Delivery</t>
  </si>
  <si>
    <t>Delivery Required</t>
  </si>
  <si>
    <t>Delivery Date</t>
  </si>
  <si>
    <t>Delivery Time</t>
  </si>
  <si>
    <t>Empty Return By</t>
  </si>
  <si>
    <t>Empty Ready for Return</t>
  </si>
  <si>
    <t>Empty Returned</t>
  </si>
  <si>
    <t>Import Release No.</t>
  </si>
  <si>
    <t>Shipment ID</t>
  </si>
  <si>
    <t>Trans</t>
  </si>
  <si>
    <t>Mode</t>
  </si>
  <si>
    <t>Consignee Name</t>
  </si>
  <si>
    <t>Shipper Name</t>
  </si>
  <si>
    <t>Carrier SCAC</t>
  </si>
  <si>
    <t>Carrier Name</t>
  </si>
  <si>
    <t>Origin Country</t>
  </si>
  <si>
    <t>Origin</t>
  </si>
  <si>
    <t>Origin Port</t>
  </si>
  <si>
    <t>First Load</t>
  </si>
  <si>
    <t>First Load Port</t>
  </si>
  <si>
    <t>Load Port</t>
  </si>
  <si>
    <t>Load Port Name</t>
  </si>
  <si>
    <t>Load ETD</t>
  </si>
  <si>
    <t>Load ATD</t>
  </si>
  <si>
    <t>Discharge Port</t>
  </si>
  <si>
    <t>Discharge Port Name</t>
  </si>
  <si>
    <t>Discharge ETA</t>
  </si>
  <si>
    <t>Discharge ATA</t>
  </si>
  <si>
    <t>Last Disch</t>
  </si>
  <si>
    <t>Last Disch Port</t>
  </si>
  <si>
    <t>Dest. Country</t>
  </si>
  <si>
    <t>Dest.</t>
  </si>
  <si>
    <t>Dest. Port Name</t>
  </si>
  <si>
    <t>Customs Release Date</t>
  </si>
  <si>
    <t>Pack Qty</t>
  </si>
  <si>
    <t>UQ</t>
  </si>
  <si>
    <t>Pack Weight</t>
  </si>
  <si>
    <t>Pack Volume</t>
  </si>
  <si>
    <t>Shippers Ref</t>
  </si>
  <si>
    <t>Cartage Company</t>
  </si>
  <si>
    <t>Cartage Company Name</t>
  </si>
  <si>
    <t>Goods Description</t>
  </si>
  <si>
    <t>Order No.</t>
  </si>
  <si>
    <t>Deliver To Name</t>
  </si>
  <si>
    <t>Deliver To Address</t>
  </si>
  <si>
    <t>Deliver To City</t>
  </si>
  <si>
    <t>Deliver To State</t>
  </si>
  <si>
    <t>CFS Available</t>
  </si>
  <si>
    <t>CFS Storage Starts</t>
  </si>
  <si>
    <t>Local Client Code</t>
  </si>
  <si>
    <t>Local Client Name</t>
  </si>
  <si>
    <t>Sending Agent Code</t>
  </si>
  <si>
    <t>Sending Agent Name</t>
  </si>
  <si>
    <t>Receiving Agent Code</t>
  </si>
  <si>
    <t>Receiving Agent Name</t>
  </si>
  <si>
    <t>Days from ETA to Availability</t>
  </si>
  <si>
    <t>Days to Return By Date</t>
  </si>
  <si>
    <t>Days past Empty Return Date</t>
  </si>
  <si>
    <t>Loaded on Rail</t>
  </si>
  <si>
    <t>Unloaded from Rail</t>
  </si>
  <si>
    <t>Notes - Client Visible Notes</t>
  </si>
  <si>
    <t>Lead/Master Shipment</t>
  </si>
  <si>
    <t>Last Container Milestone</t>
  </si>
  <si>
    <t>Last Container Milestone Date</t>
  </si>
  <si>
    <t>Last Shipment Milestone</t>
  </si>
  <si>
    <t>Last Shipment Milestone Date</t>
  </si>
  <si>
    <t>Commodity Code</t>
  </si>
  <si>
    <t>Commodity Description</t>
  </si>
  <si>
    <t>FIRMS Code</t>
  </si>
  <si>
    <t>Shipper Owned</t>
  </si>
  <si>
    <t>Direction</t>
  </si>
  <si>
    <t>OFQ</t>
  </si>
  <si>
    <t>Inv No</t>
  </si>
  <si>
    <t>Mother Vessel</t>
  </si>
  <si>
    <t>Actual Shipping Date</t>
  </si>
  <si>
    <t>Soma</t>
  </si>
  <si>
    <t>No</t>
  </si>
  <si>
    <t>File No.</t>
  </si>
  <si>
    <t>POD</t>
  </si>
  <si>
    <t>CY/CFS Location</t>
  </si>
  <si>
    <t>Final Destination</t>
  </si>
  <si>
    <t>Tanera Go</t>
  </si>
  <si>
    <t>Last Free Day Port</t>
  </si>
  <si>
    <t>Out Gate</t>
  </si>
  <si>
    <t>LFD Out Gate</t>
  </si>
  <si>
    <t>POL</t>
  </si>
  <si>
    <t>MBL’s CY Location</t>
  </si>
  <si>
    <t>D/O</t>
  </si>
  <si>
    <t>Remarks</t>
  </si>
  <si>
    <t>Expected Shipping Date</t>
  </si>
  <si>
    <t>Rail ETA</t>
  </si>
  <si>
    <t>Terminal Appointment</t>
  </si>
  <si>
    <t>Expected Last CY/CFS Date</t>
  </si>
  <si>
    <t>IDC</t>
  </si>
  <si>
    <t>Vendor Name</t>
  </si>
  <si>
    <t>Customer</t>
  </si>
  <si>
    <t>A/N Sent</t>
  </si>
  <si>
    <t>DO Sent</t>
  </si>
  <si>
    <t>PTP DO Sent</t>
  </si>
  <si>
    <t>Appointment Time</t>
  </si>
  <si>
    <t>Delivery Location</t>
  </si>
  <si>
    <t>Move Type</t>
  </si>
  <si>
    <t xml:space="preserve"> </t>
  </si>
  <si>
    <t>ShipmentId</t>
  </si>
  <si>
    <t>Account No</t>
  </si>
  <si>
    <t>ReferenceNo</t>
  </si>
  <si>
    <t>BookingNo</t>
  </si>
  <si>
    <t>Booking Date</t>
  </si>
  <si>
    <t>ShipmentType</t>
  </si>
  <si>
    <t>PONo</t>
  </si>
  <si>
    <t>Container Type</t>
  </si>
  <si>
    <t>OriginPOL</t>
  </si>
  <si>
    <t>Transshipment Port 2</t>
  </si>
  <si>
    <t>TransshipmentPort2</t>
  </si>
  <si>
    <t>Place of Delivery</t>
  </si>
  <si>
    <t>Final Door Destination</t>
  </si>
  <si>
    <t>Feeder Vessel 1</t>
  </si>
  <si>
    <t>Feeder Vessel 2</t>
  </si>
  <si>
    <t>ETD Feeder Vessel 1</t>
  </si>
  <si>
    <t>ETD Feeder Vessel 2</t>
  </si>
  <si>
    <t>ETD Mother Vessel</t>
  </si>
  <si>
    <t>ETA From Feeder Vessel 1</t>
  </si>
  <si>
    <t>ETA From Feeder Vessel 2</t>
  </si>
  <si>
    <t>ETA Final Door Destination</t>
  </si>
  <si>
    <t>FullInGateAtOrigin</t>
  </si>
  <si>
    <t>ATD Feeder Vessel 1</t>
  </si>
  <si>
    <t>ATA Feeder Vessel 1</t>
  </si>
  <si>
    <t>ATD Feeder Vessel 2</t>
  </si>
  <si>
    <t>ATA Feeder Vessel 2</t>
  </si>
  <si>
    <t>ATD Mother Vessel</t>
  </si>
  <si>
    <t>ContainerDischargeFromPOD</t>
  </si>
  <si>
    <t>Available For Pickup</t>
  </si>
  <si>
    <t>OnRail</t>
  </si>
  <si>
    <t>OffRail</t>
  </si>
  <si>
    <t>Full Container Delivery</t>
  </si>
  <si>
    <t>ContractType</t>
  </si>
  <si>
    <t>BluVoyix</t>
  </si>
  <si>
    <t>UWL, Inc.</t>
  </si>
  <si>
    <t>Job Number</t>
  </si>
  <si>
    <t>DO Received Date</t>
  </si>
  <si>
    <t>Vessel</t>
  </si>
  <si>
    <t>Terminal</t>
  </si>
  <si>
    <t>Destination (DC)</t>
  </si>
  <si>
    <t>Delivery Method (FCL/LCL)</t>
  </si>
  <si>
    <t>Total Cartons</t>
  </si>
  <si>
    <t>Seal</t>
  </si>
  <si>
    <t>Vessel ETA</t>
  </si>
  <si>
    <t>Invoice</t>
  </si>
  <si>
    <t>Days of Chassis</t>
  </si>
  <si>
    <t>Client Visible Job Notes</t>
  </si>
  <si>
    <t>Reference Number</t>
  </si>
  <si>
    <t>Empty Returned In</t>
  </si>
  <si>
    <t>POD Event</t>
  </si>
  <si>
    <t>INV Event</t>
  </si>
  <si>
    <t>INV Status</t>
  </si>
  <si>
    <t>Leg Notes</t>
  </si>
  <si>
    <t>DeliveryCity</t>
  </si>
  <si>
    <t>CTO Avail</t>
  </si>
  <si>
    <t>Gross Weight</t>
  </si>
  <si>
    <t>CNE_Address1</t>
  </si>
  <si>
    <t>CNE_Address2</t>
  </si>
  <si>
    <t>CNE_City</t>
  </si>
  <si>
    <t>CNE_State</t>
  </si>
  <si>
    <t>CNE_Postcode</t>
  </si>
  <si>
    <t>INBSHIP4061</t>
  </si>
  <si>
    <t>Topocean Consolidation Service (Los Angeles)</t>
  </si>
  <si>
    <t>MSDU6126974</t>
  </si>
  <si>
    <t>TCS1XQ64820</t>
  </si>
  <si>
    <t>MEDUXL078540</t>
  </si>
  <si>
    <t>MSC MARA</t>
  </si>
  <si>
    <t>INBSHIP4031</t>
  </si>
  <si>
    <t>Soma Universal Logistics PVT LTD</t>
  </si>
  <si>
    <t>CSNU7375307</t>
  </si>
  <si>
    <t>SULPSOL000329CVG</t>
  </si>
  <si>
    <t>COSU6501450820</t>
  </si>
  <si>
    <t>ONE RECOGNITION</t>
  </si>
  <si>
    <t>Tanera Transport</t>
  </si>
  <si>
    <t>INBSHIP4072</t>
  </si>
  <si>
    <t>Harbour Shipping LLP</t>
  </si>
  <si>
    <t>FANU1868832</t>
  </si>
  <si>
    <t>AMDCHI004764</t>
  </si>
  <si>
    <t>HLCUBO1260674528</t>
  </si>
  <si>
    <t>BREMEN EXPRESS 6124</t>
  </si>
  <si>
    <t>INBSHIP4035</t>
  </si>
  <si>
    <t>TRHU4238594</t>
  </si>
  <si>
    <t>MUJAX2650180</t>
  </si>
  <si>
    <t>ONE RECOGNITION 011E</t>
  </si>
  <si>
    <t>INBSHIP4058</t>
  </si>
  <si>
    <t>TRHU4277081</t>
  </si>
  <si>
    <t>MUJAX2650205</t>
  </si>
  <si>
    <t>INBSHIP4085</t>
  </si>
  <si>
    <t>Constellation Logistics LLC</t>
  </si>
  <si>
    <t>KOCU5018605</t>
  </si>
  <si>
    <t>HANM76892100</t>
  </si>
  <si>
    <t>YM MILESTONE V 102E</t>
  </si>
  <si>
    <t>INBSHIP4101</t>
  </si>
  <si>
    <t>TEMU7293550</t>
  </si>
  <si>
    <t>HANM23089500</t>
  </si>
  <si>
    <t>ONE ORPHEUS V 077E</t>
  </si>
  <si>
    <t>INBSHIP4102</t>
  </si>
  <si>
    <t>HMMU4189844</t>
  </si>
  <si>
    <t>HDMUHANM68959300</t>
  </si>
  <si>
    <t>ONE ORPHEUS</t>
  </si>
  <si>
    <t>INBSHIP4130</t>
  </si>
  <si>
    <t>MRKU6404488</t>
  </si>
  <si>
    <t>MAEU273896760</t>
  </si>
  <si>
    <t>MAERSK GLACIER</t>
  </si>
  <si>
    <t>INBSHIP4064</t>
  </si>
  <si>
    <t>HMMU4021193</t>
  </si>
  <si>
    <t>AMDM10469700</t>
  </si>
  <si>
    <t xml:space="preserve">ONE COMMITMENT V 0075E </t>
  </si>
  <si>
    <t>INBSHIP4065</t>
  </si>
  <si>
    <t>KOCU4758778</t>
  </si>
  <si>
    <t>AMDM18855100</t>
  </si>
  <si>
    <t>ONE COMMITMENT V 0075E</t>
  </si>
  <si>
    <t>INBSHIP4073</t>
  </si>
  <si>
    <t>HAMU1390715</t>
  </si>
  <si>
    <t>HLCUBO1260694224</t>
  </si>
  <si>
    <t>INBSHIP4074</t>
  </si>
  <si>
    <t>MSNU5738002</t>
  </si>
  <si>
    <t>177OLLLLA15699V</t>
  </si>
  <si>
    <t>MSC BEATRICE GO625N</t>
  </si>
  <si>
    <t>INBSHIP4084</t>
  </si>
  <si>
    <t>WHSU8402229</t>
  </si>
  <si>
    <t>WHLC035GX38119</t>
  </si>
  <si>
    <t>HYUNDAI NEPTUNE</t>
  </si>
  <si>
    <t>INBSHIP4086</t>
  </si>
  <si>
    <t>RFCU4088720</t>
  </si>
  <si>
    <t>HLCUBO1260694320</t>
  </si>
  <si>
    <t>NILEDUTCH LION</t>
  </si>
  <si>
    <t>INBSHIP4091</t>
  </si>
  <si>
    <t>HAMU3872228</t>
  </si>
  <si>
    <t>HLCUBO12606BCRQ9</t>
  </si>
  <si>
    <t>SAVANNAH EXPRESS</t>
  </si>
  <si>
    <t>INBSHIP4103</t>
  </si>
  <si>
    <t>NYKU4810945</t>
  </si>
  <si>
    <t>ONEYBKKGL7412700</t>
  </si>
  <si>
    <t>ONE FOREVER</t>
  </si>
  <si>
    <t>INBSHIP4104</t>
  </si>
  <si>
    <t>TCLU7973333</t>
  </si>
  <si>
    <t>ONEYBKKGL6888900</t>
  </si>
  <si>
    <t>INBSHIP4105</t>
  </si>
  <si>
    <t>GAOU6170176</t>
  </si>
  <si>
    <t>BKKM73793700</t>
  </si>
  <si>
    <t>HDMUBKKM73793700</t>
  </si>
  <si>
    <t xml:space="preserve">ONE FOREVER V.009E </t>
  </si>
  <si>
    <t>INBSHIP4106</t>
  </si>
  <si>
    <t>HMMU6135106</t>
  </si>
  <si>
    <t>ONE FOREVER V.009E</t>
  </si>
  <si>
    <t>INBSHIP4107</t>
  </si>
  <si>
    <t>KKFU8124840</t>
  </si>
  <si>
    <t>ONEYBKKGL7490600</t>
  </si>
  <si>
    <t>INBSHIP4108</t>
  </si>
  <si>
    <t>TCNU5793330</t>
  </si>
  <si>
    <t>INBSHIP4109</t>
  </si>
  <si>
    <t>HMMU6773271</t>
  </si>
  <si>
    <t>HDMUBKKM69382900</t>
  </si>
  <si>
    <t>HMM GARNET</t>
  </si>
  <si>
    <t>INBSHIP4110</t>
  </si>
  <si>
    <t>KOCU4795107</t>
  </si>
  <si>
    <t>INBSHIP4111</t>
  </si>
  <si>
    <t>HMMU6503276</t>
  </si>
  <si>
    <t>INBSHIP4112</t>
  </si>
  <si>
    <t>ONEU6805755</t>
  </si>
  <si>
    <t>MULAX2660175</t>
  </si>
  <si>
    <t>ONEYAMDG09601800</t>
  </si>
  <si>
    <t>CONTI CONQUEST 036E</t>
  </si>
  <si>
    <t>INBSHIP4117</t>
  </si>
  <si>
    <t>WHSU8880589</t>
  </si>
  <si>
    <t>WHLC035GX42109</t>
  </si>
  <si>
    <t>WAN HAI A09</t>
  </si>
  <si>
    <t>INBSHIP4118</t>
  </si>
  <si>
    <t>WHSU5515453</t>
  </si>
  <si>
    <t>INBSHIP4119</t>
  </si>
  <si>
    <t>CSNU5610325</t>
  </si>
  <si>
    <t>CBKU26061079</t>
  </si>
  <si>
    <t>COSU6506386000</t>
  </si>
  <si>
    <t>OOCL IRIS</t>
  </si>
  <si>
    <t>INBSHIP4122</t>
  </si>
  <si>
    <t>WHSU6986801</t>
  </si>
  <si>
    <t>WHLC100GX11159</t>
  </si>
  <si>
    <t>ONE SINGAPORE</t>
  </si>
  <si>
    <t>INBSHIP4123</t>
  </si>
  <si>
    <t>WHSU6976887</t>
  </si>
  <si>
    <t>INBSHIP4131</t>
  </si>
  <si>
    <t>ONEU5833120</t>
  </si>
  <si>
    <t>ONEYBKKGL7481600</t>
  </si>
  <si>
    <t>ONE MADRID</t>
  </si>
  <si>
    <t>INBSHIP4132</t>
  </si>
  <si>
    <t>HMMU7037974</t>
  </si>
  <si>
    <t>BOMM75931000</t>
  </si>
  <si>
    <t>HYUNDAI PLUTO V 0047E</t>
  </si>
  <si>
    <t>INBSHIP4133</t>
  </si>
  <si>
    <t>TCNU5688571</t>
  </si>
  <si>
    <t>SULPSOL000332LAX</t>
  </si>
  <si>
    <t>HYUNDAI PLUTO</t>
  </si>
  <si>
    <t>INBSHIP4134</t>
  </si>
  <si>
    <t>HAMU3350120</t>
  </si>
  <si>
    <t>HLCUBKK260726461</t>
  </si>
  <si>
    <t>ROME EXPRESS</t>
  </si>
  <si>
    <t>INBSHIP4136</t>
  </si>
  <si>
    <t>CAIU7666475</t>
  </si>
  <si>
    <t>SGNM29842002</t>
  </si>
  <si>
    <t>CONTI CONQUEST V 036E</t>
  </si>
  <si>
    <t>INBSHIP4138</t>
  </si>
  <si>
    <t>MRSU6491926</t>
  </si>
  <si>
    <t>MAEU274152166</t>
  </si>
  <si>
    <t>MAERSK OLYMPIC</t>
  </si>
  <si>
    <t>INBSHIP4140</t>
  </si>
  <si>
    <t>SMCU1282384</t>
  </si>
  <si>
    <t>KBLYFDP26070001</t>
  </si>
  <si>
    <t>SM YANTIAN 2605E</t>
  </si>
  <si>
    <t>INBSHIP4141</t>
  </si>
  <si>
    <t>TCLU9622997</t>
  </si>
  <si>
    <t>ONEYAMDG11073400</t>
  </si>
  <si>
    <t>HYUNDAI PLUTO 047E</t>
  </si>
  <si>
    <t>INBSHIP4142</t>
  </si>
  <si>
    <t>HMMU6385403</t>
  </si>
  <si>
    <t>HANM53958800</t>
  </si>
  <si>
    <t>HYUNDAI TOKYO V 0164E</t>
  </si>
  <si>
    <t>INBSHIP4143</t>
  </si>
  <si>
    <t>HMMU4595801</t>
  </si>
  <si>
    <t>HANM60834500</t>
  </si>
  <si>
    <t>INBSHIP4144</t>
  </si>
  <si>
    <t>WHSU5250420</t>
  </si>
  <si>
    <t>WHLC067GX16166</t>
  </si>
  <si>
    <t>WAN HAI 507 / E244</t>
  </si>
  <si>
    <t>INBSHIP4145</t>
  </si>
  <si>
    <t>HPCU4754895</t>
  </si>
  <si>
    <t>WHLC100GX11558</t>
  </si>
  <si>
    <t>INBSHIP4146</t>
  </si>
  <si>
    <t>WHSU8739499</t>
  </si>
  <si>
    <t>INBSHIP4147</t>
  </si>
  <si>
    <t>WHSU6911119</t>
  </si>
  <si>
    <t>HDMU067GX16116</t>
  </si>
  <si>
    <t>INBSHIP4148</t>
  </si>
  <si>
    <t>WHSU6302093</t>
  </si>
  <si>
    <t>INBSHIP4149</t>
  </si>
  <si>
    <t>WHSU6725958</t>
  </si>
  <si>
    <t>HDMU067GX16115</t>
  </si>
  <si>
    <t xml:space="preserve"> WAN HAI 507 / E244</t>
  </si>
  <si>
    <t>INBSHIP4150</t>
  </si>
  <si>
    <t>WHSU6794033</t>
  </si>
  <si>
    <t>WHLC100GX11559</t>
  </si>
  <si>
    <t>INBSHIP4151</t>
  </si>
  <si>
    <t>HMMU6361377</t>
  </si>
  <si>
    <t>HANM94070100</t>
  </si>
  <si>
    <t>WAN HAI A01 V E019</t>
  </si>
  <si>
    <t>INBSHIP4152</t>
  </si>
  <si>
    <t>WHSU6827029</t>
  </si>
  <si>
    <t>INBSHIP4153</t>
  </si>
  <si>
    <t>WHSU5440966</t>
  </si>
  <si>
    <t>WHLC100GX11533</t>
  </si>
  <si>
    <t>WAN HAI A01</t>
  </si>
  <si>
    <t>INBSHIP4154</t>
  </si>
  <si>
    <t>WHLU5806010</t>
  </si>
  <si>
    <t>WHLC100GX11534</t>
  </si>
  <si>
    <t>INBSHIP4155</t>
  </si>
  <si>
    <t>WHSU5060380</t>
  </si>
  <si>
    <t>INBSHIP4156</t>
  </si>
  <si>
    <t>WHLU5784797</t>
  </si>
  <si>
    <t>WHLC100GX11546</t>
  </si>
  <si>
    <t>INBSHIP4157</t>
  </si>
  <si>
    <t>WHSU6616582</t>
  </si>
  <si>
    <t>WHLC100GX11532</t>
  </si>
  <si>
    <t>INBSHIP4158</t>
  </si>
  <si>
    <t>WHSU8495725</t>
  </si>
  <si>
    <t>WHLC100GX11682</t>
  </si>
  <si>
    <t>INBSHIP4159</t>
  </si>
  <si>
    <t>WHSU6046880</t>
  </si>
  <si>
    <t>INBSHIP4160</t>
  </si>
  <si>
    <t>WHSU6737671</t>
  </si>
  <si>
    <t>WHLC100GX12770</t>
  </si>
  <si>
    <t>INBSHIP4174</t>
  </si>
  <si>
    <t>GAOU6207721</t>
  </si>
  <si>
    <t>HANM49306100</t>
  </si>
  <si>
    <t>INBSHIP4175</t>
  </si>
  <si>
    <t>WHSU5704610</t>
  </si>
  <si>
    <t>WHLC050GA08286</t>
  </si>
  <si>
    <t>WAN HAI A05</t>
  </si>
  <si>
    <t>INBSHIP4176</t>
  </si>
  <si>
    <t>SMCU1182718</t>
  </si>
  <si>
    <t>TAYH6L302700</t>
  </si>
  <si>
    <t>SM LONG BEACH 2605E</t>
  </si>
  <si>
    <t>INBSHIP4179</t>
  </si>
  <si>
    <t>NYKU4778859</t>
  </si>
  <si>
    <t>AMDLAX004802</t>
  </si>
  <si>
    <t>HYUNDAI PLUTO VOY 047E</t>
  </si>
  <si>
    <t>INBSHIP4181</t>
  </si>
  <si>
    <t>WHSU8646610</t>
  </si>
  <si>
    <t>WHLC035GX45024</t>
  </si>
  <si>
    <t>WAN HAI A10</t>
  </si>
  <si>
    <t>INBSHIP4182</t>
  </si>
  <si>
    <t>CAIU9822290</t>
  </si>
  <si>
    <t>SGNM32484201</t>
  </si>
  <si>
    <t>ONE FORTUNE V 008E</t>
  </si>
  <si>
    <t>INBSHIP4183</t>
  </si>
  <si>
    <t>FFAU1828707</t>
  </si>
  <si>
    <t>ONEYKHIG24118500</t>
  </si>
  <si>
    <t>MAERSK PUELO 628E</t>
  </si>
  <si>
    <t>INBSHIP4184</t>
  </si>
  <si>
    <t>TIIU6360190</t>
  </si>
  <si>
    <t>SEASPAN BRISBANE E023</t>
  </si>
  <si>
    <t>INBSHIP4185</t>
  </si>
  <si>
    <t>HMMU6478661</t>
  </si>
  <si>
    <t>HANM98387500</t>
  </si>
  <si>
    <t>ONE GEORGE WASHINGTON V 003E</t>
  </si>
  <si>
    <t>INBSHIP4186</t>
  </si>
  <si>
    <t>TXGU8538963</t>
  </si>
  <si>
    <t xml:space="preserve">ONGEORGE WASHINGTON V 003E </t>
  </si>
  <si>
    <t>INBSHIP4187</t>
  </si>
  <si>
    <t>WHSU5542248</t>
  </si>
  <si>
    <t>WHLC100GX13071</t>
  </si>
  <si>
    <t>WAN HAI A19</t>
  </si>
  <si>
    <t>CONTI CONQUEST</t>
  </si>
  <si>
    <t>HDMUHANM23089500</t>
  </si>
  <si>
    <t>HDMUHANM76892100</t>
  </si>
  <si>
    <t>BREMEN EXPRESS</t>
  </si>
  <si>
    <t>ONEYGING11868600</t>
  </si>
  <si>
    <t>ONEYMUMG46539300</t>
  </si>
  <si>
    <t>HDMUAMDM10469700</t>
  </si>
  <si>
    <t>ONE COMMITMENT</t>
  </si>
  <si>
    <t>CAUTIN</t>
  </si>
  <si>
    <t>CHACABUCO</t>
  </si>
  <si>
    <t xml:space="preserve">ONE GRUS </t>
  </si>
  <si>
    <t>Master Bill of Lading OEC Portal</t>
  </si>
  <si>
    <t>Master Bill of Lading IDC</t>
  </si>
  <si>
    <t>Master Bill of Lading UNIS</t>
  </si>
  <si>
    <t>Master Bill of Lading OEC Email</t>
  </si>
  <si>
    <t>Master Bill of Lading UWL, Inc.</t>
  </si>
  <si>
    <t>Master Bill of Lading Topocean</t>
  </si>
  <si>
    <t>Master Bill of Lading Tanera Go</t>
  </si>
  <si>
    <t>Master Bill of Lading BluVoyix</t>
  </si>
  <si>
    <t>Master Bill of Lading Soma</t>
  </si>
  <si>
    <t>Vessel Number OEC Portal</t>
  </si>
  <si>
    <t>Vessel Number IDC</t>
  </si>
  <si>
    <t>Vessel Number UNIS</t>
  </si>
  <si>
    <t>Vessel Number OEC Email</t>
  </si>
  <si>
    <t>Vessel Number UWL, Inc.</t>
  </si>
  <si>
    <t>Vessel Number Topocean</t>
  </si>
  <si>
    <t>Vessel Number Tanera Go</t>
  </si>
  <si>
    <t>Vessel Number BluVoyix</t>
  </si>
  <si>
    <t>Vessel Number Soma</t>
  </si>
  <si>
    <t>Actual Shipping Date ERP</t>
  </si>
  <si>
    <t>Actual Shipping Date OEC Portal</t>
  </si>
  <si>
    <t>Actual Shipping Date IDC</t>
  </si>
  <si>
    <t>Actual Shipping Date UNIS</t>
  </si>
  <si>
    <t>Actual Shipping Date OEC Email</t>
  </si>
  <si>
    <t>Actual Shipping Date UWL, Inc.</t>
  </si>
  <si>
    <t>Actual Shipping Date Topocean</t>
  </si>
  <si>
    <t>Actual Shipping Date Tanera Go</t>
  </si>
  <si>
    <t>Actual Shipping Date BluVoyix</t>
  </si>
  <si>
    <t>Actual Shipping Date Soma</t>
  </si>
  <si>
    <t>Expected Port Date OEC Portal</t>
  </si>
  <si>
    <t>Expected Port Date IDC</t>
  </si>
  <si>
    <t>Expected Port Date UNIS</t>
  </si>
  <si>
    <t>Expected Port Date OEC Email</t>
  </si>
  <si>
    <t>Expected Port Date UWL, Inc.</t>
  </si>
  <si>
    <t>Expected Port Date Topocean</t>
  </si>
  <si>
    <t>Expected Port Date Tanera Go</t>
  </si>
  <si>
    <t>Expected Port Date BluVoyix</t>
  </si>
  <si>
    <t>Expected Port Date Soma</t>
  </si>
  <si>
    <t>Actual Port Date OEC Portal</t>
  </si>
  <si>
    <t>Actual Port Date IDC</t>
  </si>
  <si>
    <t>Actual Port Date UNIS</t>
  </si>
  <si>
    <t>Actual Port Date OEC Email</t>
  </si>
  <si>
    <t>Actual Port Date UWL, Inc.</t>
  </si>
  <si>
    <t>Actual Port Date Topocean</t>
  </si>
  <si>
    <t>Actual Port Date Tanera Go</t>
  </si>
  <si>
    <t>Actual Port Date BluVoyix</t>
  </si>
  <si>
    <t>Actual Port Date Soma</t>
  </si>
  <si>
    <t>Expected Last CY/CFS Date ERP</t>
  </si>
  <si>
    <t>Expected Last CY/CFS Date OEC Portal</t>
  </si>
  <si>
    <t>Expected Last CY/CFS Date IDC</t>
  </si>
  <si>
    <t>Expected Last CY/CFS Date UNIS</t>
  </si>
  <si>
    <t>Expected Last CY/CFS Date OEC Email</t>
  </si>
  <si>
    <t>Expected Last CY/CFS Date UWL, Inc.</t>
  </si>
  <si>
    <t>Expected Last CY/CFS Date Topocean</t>
  </si>
  <si>
    <t>Expected Last CY/CFS Date Tanera Go</t>
  </si>
  <si>
    <t>Expected Last CY/CFS Date BluVoyix</t>
  </si>
  <si>
    <t>Expected Last CY/CFS Date Soma</t>
  </si>
  <si>
    <t>Last Free Day OEC Portal</t>
  </si>
  <si>
    <t>Last Free Day IDC</t>
  </si>
  <si>
    <t>Last Free Day UNIS</t>
  </si>
  <si>
    <t>Last Free Day OEC Email</t>
  </si>
  <si>
    <t>Last Free Day UWL, Inc.</t>
  </si>
  <si>
    <t>Last Free Day Topocean</t>
  </si>
  <si>
    <t>Last Free Day Tanera Go</t>
  </si>
  <si>
    <t>Last Free Day BluVoyix</t>
  </si>
  <si>
    <t>Last Free Day Soma</t>
  </si>
  <si>
    <t>Drayage Date OEC Portal</t>
  </si>
  <si>
    <t>Drayage Date IDC</t>
  </si>
  <si>
    <t>Drayage Date UNIS</t>
  </si>
  <si>
    <t>Drayage Date OEC Email</t>
  </si>
  <si>
    <t>Drayage Date UWL, Inc.</t>
  </si>
  <si>
    <t>Drayage Date Topocean</t>
  </si>
  <si>
    <t>Drayage Date Tanera Go</t>
  </si>
  <si>
    <t>Drayage Date BluVoyix</t>
  </si>
  <si>
    <t>Drayage Date Soma</t>
  </si>
  <si>
    <t>Expected Delivery Date OEC Portal</t>
  </si>
  <si>
    <t>Expected Delivery Date IDC</t>
  </si>
  <si>
    <t>Expected Delivery Date UNIS</t>
  </si>
  <si>
    <t>Expected Delivery Date OEC Email</t>
  </si>
  <si>
    <t>Expected Delivery Date UWL, Inc.</t>
  </si>
  <si>
    <t>Expected Delivery Date Topocean</t>
  </si>
  <si>
    <t>Expected Delivery Date Tanera Go</t>
  </si>
  <si>
    <t>Expected Delivery Date BluVoyix</t>
  </si>
  <si>
    <t>Expected Delivery Date Soma</t>
  </si>
  <si>
    <t>Appointment Date OEC Portal</t>
  </si>
  <si>
    <t>Appointment Date IDC</t>
  </si>
  <si>
    <t>Appointment Date UNIS</t>
  </si>
  <si>
    <t>Appointment Date OEC Email</t>
  </si>
  <si>
    <t>Appointment Date UWL, Inc.</t>
  </si>
  <si>
    <t>Appointment Date Topocean</t>
  </si>
  <si>
    <t>Appointment Date Tanera Go</t>
  </si>
  <si>
    <t>Appointment Date BluVoyix</t>
  </si>
  <si>
    <t>Appointment Date Soma</t>
  </si>
  <si>
    <t>Delivery Type OEC Portal</t>
  </si>
  <si>
    <t>Delivery Type IDC</t>
  </si>
  <si>
    <t>Delivery Type UNIS</t>
  </si>
  <si>
    <t>Delivery Type OEC Email</t>
  </si>
  <si>
    <t>Delivery Type UWL, Inc.</t>
  </si>
  <si>
    <t>Delivery Type Topocean</t>
  </si>
  <si>
    <t>Delivery Type Tanera Go</t>
  </si>
  <si>
    <t>Delivery Type BluVoyix</t>
  </si>
  <si>
    <t>Delivery Type Soma</t>
  </si>
  <si>
    <t>Actual Delivery Date OEC Portal</t>
  </si>
  <si>
    <t>Actual Delivery Date IDC</t>
  </si>
  <si>
    <t>Actual Delivery Date UNIS</t>
  </si>
  <si>
    <t>Actual Delivery Date OEC Email</t>
  </si>
  <si>
    <t>Actual Delivery Date UWL, Inc.</t>
  </si>
  <si>
    <t>Actual Delivery Date Topocean</t>
  </si>
  <si>
    <t>Actual Delivery Date Tanera Go</t>
  </si>
  <si>
    <t>Actual Delivery Date BluVoyix</t>
  </si>
  <si>
    <t>Actual Delivery Date Soma</t>
  </si>
  <si>
    <t>Empty Ready Date OEC Portal</t>
  </si>
  <si>
    <t>Empty Ready Date IDC</t>
  </si>
  <si>
    <t>Empty Ready Date UNIS</t>
  </si>
  <si>
    <t>Empty Ready Date OEC Email</t>
  </si>
  <si>
    <t>Empty Ready Date UWL, Inc.</t>
  </si>
  <si>
    <t>Empty Ready Date Topocean</t>
  </si>
  <si>
    <t>Empty Ready Date Tanera Go</t>
  </si>
  <si>
    <t>Empty Ready Date BluVoyix</t>
  </si>
  <si>
    <t>Empty Ready Date Soma</t>
  </si>
  <si>
    <t>Empty Pickup Date OEC Portal</t>
  </si>
  <si>
    <t>Empty Pickup Date IDC</t>
  </si>
  <si>
    <t>Empty Pickup Date UNIS</t>
  </si>
  <si>
    <t>Empty Pickup Date OEC Email</t>
  </si>
  <si>
    <t>Empty Pickup Date UWL, Inc.</t>
  </si>
  <si>
    <t>Empty Pickup Date Topocean</t>
  </si>
  <si>
    <t>Empty Pickup Date Tanera Go</t>
  </si>
  <si>
    <t>Empty Pickup Date BluVoyix</t>
  </si>
  <si>
    <t>Empty Pickup Date Soma</t>
  </si>
  <si>
    <t>Empty Return Date OEC Portal</t>
  </si>
  <si>
    <t>Empty Return Date IDC</t>
  </si>
  <si>
    <t>Empty Return Date UNIS</t>
  </si>
  <si>
    <t>Empty Return Date OEC Email</t>
  </si>
  <si>
    <t>Empty Return Date UWL, Inc.</t>
  </si>
  <si>
    <t>Empty Return Date Topocean</t>
  </si>
  <si>
    <t>Empty Return Date Tanera Go</t>
  </si>
  <si>
    <t>Empty Return Date BluVoyix</t>
  </si>
  <si>
    <t>Empty Return Date Soma</t>
  </si>
  <si>
    <t>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</si>
</sst>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5"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u/>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8"/>
      <name val="Arial"/>
      <family val="2"/>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sz val="12"/>
      <color theme="0"/>
      <name val="Calibri"/>
      <family val="2"/>
      <scheme val="minor"/>
    </font>
    <font>
      <sz val="12"/>
      <name val="Calibri"/>
      <family val="2"/>
    </font>
    <font>
      <sz val="10"/>
      <color rgb="FF000000"/>
      <name val="Arial"/>
      <family val="2"/>
    </font>
    <font>
      <u/>
      <sz val="11"/>
      <color theme="10"/>
      <name val="Calibri"/>
      <family val="2"/>
      <scheme val="minor"/>
    </font>
    <font>
      <sz val="8"/>
      <name val="Arial"/>
      <family val="2"/>
    </font>
    <font>
      <sz val="11"/>
      <name val="Calibri"/>
      <family val="2"/>
      <scheme val="minor"/>
    </font>
    <font>
      <sz val="10"/>
      <color theme="1"/>
      <name val="Arial"/>
      <family val="2"/>
    </font>
    <font>
      <b/>
      <sz val="9"/>
      <color rgb="FF111111"/>
      <name val="Arial"/>
      <family val="2"/>
    </font>
    <font>
      <b/>
      <sz val="7"/>
      <name val="Arial"/>
      <family val="2"/>
    </font>
    <font>
      <sz val="12"/>
      <color rgb="FF000000"/>
      <name val="Calibri"/>
      <family val="2"/>
      <scheme val="minor"/>
    </font>
    <font>
      <sz val="10"/>
      <name val="Arial"/>
      <family val="2"/>
    </font>
    <font>
      <sz val="11"/>
      <color indexed="8"/>
      <name val="Calibri"/>
      <family val="2"/>
      <scheme val="minor"/>
    </font>
    <font>
      <b/>
      <sz val="12"/>
      <color rgb="FFFF0000"/>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D0D0D0"/>
        <bgColor indexed="64"/>
      </patternFill>
    </fill>
    <fill>
      <patternFill patternType="solid">
        <fgColor rgb="FFE9E9E9"/>
        <bgColor rgb="FFE9E9E9"/>
      </patternFill>
    </fill>
    <fill>
      <patternFill patternType="solid">
        <fgColor rgb="FFC6E0B4"/>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s>
  <cellStyleXfs count="53">
    <xf numFmtId="0" fontId="0" fillId="0" borderId="0"/>
    <xf numFmtId="0" fontId="7" fillId="0" borderId="0" applyNumberFormat="0" applyFill="0" applyBorder="0" applyAlignment="0" applyProtection="0"/>
    <xf numFmtId="0" fontId="8" fillId="0" borderId="1" applyNumberFormat="0" applyFill="0" applyAlignment="0" applyProtection="0"/>
    <xf numFmtId="0" fontId="9" fillId="0" borderId="2" applyNumberFormat="0" applyFill="0" applyAlignment="0" applyProtection="0"/>
    <xf numFmtId="0" fontId="10" fillId="0" borderId="3" applyNumberFormat="0" applyFill="0" applyAlignment="0" applyProtection="0"/>
    <xf numFmtId="0" fontId="10" fillId="0" borderId="0" applyNumberFormat="0" applyFill="0" applyBorder="0" applyAlignment="0" applyProtection="0"/>
    <xf numFmtId="0" fontId="6" fillId="8" borderId="8" applyNumberFormat="0" applyFont="0" applyAlignment="0" applyProtection="0"/>
    <xf numFmtId="0" fontId="12" fillId="0" borderId="0"/>
    <xf numFmtId="0" fontId="23" fillId="0" borderId="0"/>
    <xf numFmtId="0" fontId="11" fillId="2" borderId="0" applyNumberFormat="0" applyBorder="0" applyAlignment="0" applyProtection="0"/>
    <xf numFmtId="0" fontId="13" fillId="3" borderId="0" applyNumberFormat="0" applyBorder="0" applyAlignment="0" applyProtection="0"/>
    <xf numFmtId="0" fontId="14" fillId="4" borderId="0" applyNumberFormat="0" applyBorder="0" applyAlignment="0" applyProtection="0"/>
    <xf numFmtId="0" fontId="15" fillId="5" borderId="4" applyNumberFormat="0" applyAlignment="0" applyProtection="0"/>
    <xf numFmtId="0" fontId="16" fillId="6" borderId="5" applyNumberFormat="0" applyAlignment="0" applyProtection="0"/>
    <xf numFmtId="0" fontId="17" fillId="6" borderId="4" applyNumberFormat="0" applyAlignment="0" applyProtection="0"/>
    <xf numFmtId="0" fontId="18" fillId="0" borderId="6" applyNumberFormat="0" applyFill="0" applyAlignment="0" applyProtection="0"/>
    <xf numFmtId="0" fontId="19" fillId="7" borderId="7" applyNumberFormat="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4" fillId="0" borderId="9" applyNumberFormat="0" applyFill="0" applyAlignment="0" applyProtection="0"/>
    <xf numFmtId="0" fontId="22" fillId="9" borderId="0" applyNumberFormat="0" applyBorder="0" applyAlignment="0" applyProtection="0"/>
    <xf numFmtId="0" fontId="6" fillId="10" borderId="0" applyNumberFormat="0" applyBorder="0" applyAlignment="0" applyProtection="0"/>
    <xf numFmtId="0" fontId="6" fillId="11" borderId="0" applyNumberFormat="0" applyBorder="0" applyAlignment="0" applyProtection="0"/>
    <xf numFmtId="0" fontId="6" fillId="12" borderId="0" applyNumberFormat="0" applyBorder="0" applyAlignment="0" applyProtection="0"/>
    <xf numFmtId="0" fontId="22" fillId="13" borderId="0" applyNumberFormat="0" applyBorder="0" applyAlignment="0" applyProtection="0"/>
    <xf numFmtId="0" fontId="6" fillId="14" borderId="0" applyNumberFormat="0" applyBorder="0" applyAlignment="0" applyProtection="0"/>
    <xf numFmtId="0" fontId="6" fillId="15" borderId="0" applyNumberFormat="0" applyBorder="0" applyAlignment="0" applyProtection="0"/>
    <xf numFmtId="0" fontId="6" fillId="16" borderId="0" applyNumberFormat="0" applyBorder="0" applyAlignment="0" applyProtection="0"/>
    <xf numFmtId="0" fontId="22" fillId="17" borderId="0" applyNumberFormat="0" applyBorder="0" applyAlignment="0" applyProtection="0"/>
    <xf numFmtId="0" fontId="6" fillId="18" borderId="0" applyNumberFormat="0" applyBorder="0" applyAlignment="0" applyProtection="0"/>
    <xf numFmtId="0" fontId="6" fillId="19" borderId="0" applyNumberFormat="0" applyBorder="0" applyAlignment="0" applyProtection="0"/>
    <xf numFmtId="0" fontId="6" fillId="20" borderId="0" applyNumberFormat="0" applyBorder="0" applyAlignment="0" applyProtection="0"/>
    <xf numFmtId="0" fontId="22" fillId="21" borderId="0" applyNumberFormat="0" applyBorder="0" applyAlignment="0" applyProtection="0"/>
    <xf numFmtId="0" fontId="6" fillId="22" borderId="0" applyNumberFormat="0" applyBorder="0" applyAlignment="0" applyProtection="0"/>
    <xf numFmtId="0" fontId="6" fillId="23" borderId="0" applyNumberFormat="0" applyBorder="0" applyAlignment="0" applyProtection="0"/>
    <xf numFmtId="0" fontId="6" fillId="24" borderId="0" applyNumberFormat="0" applyBorder="0" applyAlignment="0" applyProtection="0"/>
    <xf numFmtId="0" fontId="22" fillId="25" borderId="0" applyNumberFormat="0" applyBorder="0" applyAlignment="0" applyProtection="0"/>
    <xf numFmtId="0" fontId="6" fillId="26" borderId="0" applyNumberFormat="0" applyBorder="0" applyAlignment="0" applyProtection="0"/>
    <xf numFmtId="0" fontId="6" fillId="27" borderId="0" applyNumberFormat="0" applyBorder="0" applyAlignment="0" applyProtection="0"/>
    <xf numFmtId="0" fontId="6" fillId="28" borderId="0" applyNumberFormat="0" applyBorder="0" applyAlignment="0" applyProtection="0"/>
    <xf numFmtId="0" fontId="22" fillId="29" borderId="0" applyNumberFormat="0" applyBorder="0" applyAlignment="0" applyProtection="0"/>
    <xf numFmtId="0" fontId="6" fillId="30" borderId="0" applyNumberFormat="0" applyBorder="0" applyAlignment="0" applyProtection="0"/>
    <xf numFmtId="0" fontId="6" fillId="31" borderId="0" applyNumberFormat="0" applyBorder="0" applyAlignment="0" applyProtection="0"/>
    <xf numFmtId="0" fontId="6" fillId="32" borderId="0" applyNumberFormat="0" applyBorder="0" applyAlignment="0" applyProtection="0"/>
    <xf numFmtId="0" fontId="24" fillId="0" borderId="0"/>
    <xf numFmtId="0" fontId="3" fillId="0" borderId="0"/>
    <xf numFmtId="0" fontId="25" fillId="0" borderId="0" applyNumberFormat="0" applyFill="0" applyBorder="0" applyAlignment="0" applyProtection="0"/>
    <xf numFmtId="0" fontId="26" fillId="0" borderId="0"/>
    <xf numFmtId="0" fontId="12" fillId="0" borderId="0"/>
    <xf numFmtId="0" fontId="2" fillId="0" borderId="0"/>
    <xf numFmtId="0" fontId="1" fillId="0" borderId="0"/>
    <xf numFmtId="0" fontId="32" fillId="0" borderId="0"/>
    <xf numFmtId="0" fontId="33" fillId="0" borderId="0"/>
  </cellStyleXfs>
  <cellXfs count="26">
    <xf numFmtId="0" fontId="0" fillId="0" borderId="0" xfId="0"/>
    <xf numFmtId="0" fontId="4" fillId="0" borderId="0" xfId="0" applyFont="1"/>
    <xf numFmtId="0" fontId="0" fillId="0" borderId="0" xfId="0" applyAlignment="1">
      <alignment wrapText="1"/>
    </xf>
    <xf numFmtId="0" fontId="5" fillId="0" borderId="0" xfId="0" applyFont="1"/>
    <xf numFmtId="0" fontId="0" fillId="33" borderId="0" xfId="0" applyFill="1" applyAlignment="1">
      <alignment wrapText="1"/>
    </xf>
    <xf numFmtId="0" fontId="27" fillId="0" borderId="0" xfId="0" applyFont="1" applyAlignment="1">
      <alignment horizontal="left"/>
    </xf>
    <xf numFmtId="0" fontId="4" fillId="0" borderId="0" xfId="0" applyFont="1" applyAlignment="1">
      <alignment wrapText="1"/>
    </xf>
    <xf numFmtId="0" fontId="29" fillId="35" borderId="10" xfId="0" applyFont="1" applyFill="1" applyBorder="1" applyAlignment="1">
      <alignment horizontal="left" vertical="center"/>
    </xf>
    <xf numFmtId="14" fontId="29" fillId="35" borderId="10" xfId="0" applyNumberFormat="1" applyFont="1" applyFill="1" applyBorder="1" applyAlignment="1">
      <alignment horizontal="left" vertical="center"/>
    </xf>
    <xf numFmtId="0" fontId="28" fillId="0" borderId="0" xfId="0" applyFont="1"/>
    <xf numFmtId="0" fontId="30" fillId="34" borderId="0" xfId="0" applyFont="1" applyFill="1" applyAlignment="1">
      <alignment horizontal="center"/>
    </xf>
    <xf numFmtId="14" fontId="0" fillId="0" borderId="0" xfId="0" applyNumberFormat="1"/>
    <xf numFmtId="1" fontId="0" fillId="0" borderId="0" xfId="0" applyNumberFormat="1"/>
    <xf numFmtId="0" fontId="31" fillId="0" borderId="0" xfId="0" applyFont="1"/>
    <xf numFmtId="14" fontId="30" fillId="34" borderId="0" xfId="0" applyNumberFormat="1" applyFont="1" applyFill="1" applyAlignment="1">
      <alignment horizontal="center"/>
    </xf>
    <xf numFmtId="15" fontId="0" fillId="0" borderId="0" xfId="0" applyNumberFormat="1"/>
    <xf numFmtId="22" fontId="0" fillId="0" borderId="0" xfId="0" applyNumberFormat="1"/>
    <xf numFmtId="0" fontId="0" fillId="0" borderId="0" xfId="0" applyAlignment="1">
      <alignment horizontal="center" vertical="center"/>
    </xf>
    <xf numFmtId="0" fontId="0" fillId="0" borderId="0" xfId="0" applyAlignment="1">
      <alignment horizontal="left"/>
    </xf>
    <xf numFmtId="14" fontId="0" fillId="0" borderId="0" xfId="0" applyNumberFormat="1" applyAlignment="1">
      <alignment horizontal="center" vertical="center"/>
    </xf>
    <xf numFmtId="14" fontId="28" fillId="0" borderId="0" xfId="0" applyNumberFormat="1" applyFont="1"/>
    <xf numFmtId="18" fontId="0" fillId="0" borderId="0" xfId="0" applyNumberFormat="1"/>
    <xf numFmtId="0" fontId="0" fillId="36" borderId="0" xfId="0" applyFill="1"/>
    <xf numFmtId="164" fontId="0" fillId="36" borderId="0" xfId="0" applyNumberFormat="1" applyFill="1" applyAlignment="1">
      <alignment horizontal="right"/>
    </xf>
    <xf numFmtId="164" fontId="0" fillId="0" borderId="0" xfId="0" applyNumberFormat="1" applyAlignment="1">
      <alignment horizontal="right"/>
    </xf>
    <xf numFmtId="0" fontId="34" fillId="0" borderId="0" xfId="0" applyFont="1"/>
  </cellXfs>
  <cellStyles count="53">
    <cellStyle name="20% - Accent1 2" xfId="21" xr:uid="{FAD38B6F-5283-437D-BE71-06247092D066}"/>
    <cellStyle name="20% - Accent2 2" xfId="25" xr:uid="{E44A4304-D5DA-4E37-9F83-2836B05E52DA}"/>
    <cellStyle name="20% - Accent3 2" xfId="29" xr:uid="{C3DC73E8-5E68-415F-8D1F-06E9629C2DD1}"/>
    <cellStyle name="20% - Accent4 2" xfId="33" xr:uid="{B437A57F-5048-4675-B5F7-A5038E134529}"/>
    <cellStyle name="20% - Accent5 2" xfId="37" xr:uid="{5900B08C-C468-4FC9-8C4F-05BC96C92E2D}"/>
    <cellStyle name="20% - Accent6 2" xfId="41" xr:uid="{3BA9AF4B-6758-47E1-99C7-CCF2BECB164F}"/>
    <cellStyle name="40% - Accent1 2" xfId="22" xr:uid="{43199D58-535F-4416-87A1-5797CC45D81D}"/>
    <cellStyle name="40% - Accent2 2" xfId="26" xr:uid="{431E284B-0DD2-492C-9063-173CE99377A9}"/>
    <cellStyle name="40% - Accent3 2" xfId="30" xr:uid="{8F2D2827-FF10-47A5-998A-9B0DCE89A936}"/>
    <cellStyle name="40% - Accent4 2" xfId="34" xr:uid="{8CCD4776-D4E1-4351-8B35-36BE7538354B}"/>
    <cellStyle name="40% - Accent5 2" xfId="38" xr:uid="{24C9DDAC-FC7E-4246-AA9C-D4A88589FDAD}"/>
    <cellStyle name="40% - Accent6 2" xfId="42" xr:uid="{AF19F475-EC40-46E3-ADA0-66EFE7DC0D01}"/>
    <cellStyle name="60% - Accent1 2" xfId="23" xr:uid="{D34657D3-7952-4C44-A762-326963A2606A}"/>
    <cellStyle name="60% - Accent2 2" xfId="27" xr:uid="{C44343CD-1451-4581-A85F-603E329E388D}"/>
    <cellStyle name="60% - Accent3 2" xfId="31" xr:uid="{5E94F33E-98C9-4255-9BBA-4B8D55575367}"/>
    <cellStyle name="60% - Accent4 2" xfId="35" xr:uid="{A78FE59B-E87D-48CB-93AA-ADEAB861CA74}"/>
    <cellStyle name="60% - Accent5 2" xfId="39" xr:uid="{AE8D780D-BA40-44A4-BDCA-EFD5FBF36367}"/>
    <cellStyle name="60% - Accent6 2" xfId="43" xr:uid="{0EF47F72-A927-4B4B-A626-F2425EBF8C70}"/>
    <cellStyle name="Accent1 2" xfId="20" xr:uid="{45BC2507-CAAF-4F16-9D45-04EAC61AB182}"/>
    <cellStyle name="Accent2 2" xfId="24" xr:uid="{30FD8B7F-8E4C-4932-8637-D16CB67D2F14}"/>
    <cellStyle name="Accent3 2" xfId="28" xr:uid="{F7B3EEAA-C1B8-41CB-8BC8-B416F50CACE4}"/>
    <cellStyle name="Accent4 2" xfId="32" xr:uid="{24B3C452-6691-4DC3-932A-2FA94944F04D}"/>
    <cellStyle name="Accent5 2" xfId="36" xr:uid="{2FBF91F6-8374-471A-92B7-E1DAB822D858}"/>
    <cellStyle name="Accent6 2" xfId="40" xr:uid="{A14D29B2-5C83-4A63-9E14-224B447E097D}"/>
    <cellStyle name="Bad 2" xfId="10" xr:uid="{3B6495B5-EE06-4FE1-8C2A-8579C9CFFDBC}"/>
    <cellStyle name="Calculation 2" xfId="14" xr:uid="{C4639190-2AEB-44C6-BB73-84425F95D5B0}"/>
    <cellStyle name="Check Cell 2" xfId="16" xr:uid="{45D27083-6BC3-460F-B45A-F9743DB5D381}"/>
    <cellStyle name="Explanatory Text 2" xfId="18" xr:uid="{7759A48B-E53A-467E-99E4-24FC444E461C}"/>
    <cellStyle name="Good 2" xfId="9" xr:uid="{F1C58345-E9B5-4C76-99A8-60FD0643A148}"/>
    <cellStyle name="Heading 1" xfId="2" builtinId="16" customBuiltin="1"/>
    <cellStyle name="Heading 2" xfId="3" builtinId="17" customBuiltin="1"/>
    <cellStyle name="Heading 3" xfId="4" builtinId="18" customBuiltin="1"/>
    <cellStyle name="Heading 4" xfId="5" builtinId="19" customBuiltin="1"/>
    <cellStyle name="Hyperlink 2" xfId="46" xr:uid="{28B5715F-1C33-4CFF-BA32-ED93F0192AB5}"/>
    <cellStyle name="Input 2" xfId="12" xr:uid="{47E353AF-FF9E-4300-8283-C06CD6A0D731}"/>
    <cellStyle name="Linked Cell 2" xfId="15" xr:uid="{CDE93040-EC49-4554-993F-8CD81FA915EB}"/>
    <cellStyle name="Neutral 2" xfId="11" xr:uid="{0663CFD7-AE5F-4996-997B-365B61C89B47}"/>
    <cellStyle name="Normal" xfId="0" builtinId="0"/>
    <cellStyle name="Normal 2" xfId="7" xr:uid="{55423E3F-3C51-4586-AABA-202F8997CA20}"/>
    <cellStyle name="Normal 3" xfId="8" xr:uid="{952ABDA8-8DA9-4F41-A885-3FB8389B9E10}"/>
    <cellStyle name="Normal 4" xfId="44" xr:uid="{C2C1A6F4-A83A-4109-AF86-91718B6031C1}"/>
    <cellStyle name="Normal 5" xfId="45" xr:uid="{32082953-01DF-4601-BD02-B5FD511B0EE2}"/>
    <cellStyle name="Normal 5 2" xfId="49" xr:uid="{6E35C0B3-0FDE-4DCB-8654-9DF91E08F242}"/>
    <cellStyle name="Normal 5 2 2" xfId="50" xr:uid="{8EA2CD1E-98DF-4432-9DF1-9E87BDE43811}"/>
    <cellStyle name="Normal 6" xfId="47" xr:uid="{CFAADAE8-1801-4A8A-A888-C451102F17CE}"/>
    <cellStyle name="Normal 6 2" xfId="48" xr:uid="{1C69C1B7-08A9-4B8E-B6B3-BC9C30F5D6D0}"/>
    <cellStyle name="Normal 7" xfId="51" xr:uid="{8E009D7D-C888-41D4-A133-599E6CD7BDE2}"/>
    <cellStyle name="Normal 8" xfId="52" xr:uid="{FFF3D0EE-CD2F-4CCD-9A70-AA69A8902A81}"/>
    <cellStyle name="Note" xfId="6" builtinId="10" customBuiltin="1"/>
    <cellStyle name="Output 2" xfId="13" xr:uid="{F5D7C552-20BC-4771-B8FB-BB36C7884727}"/>
    <cellStyle name="Title" xfId="1" builtinId="15" customBuiltin="1"/>
    <cellStyle name="Total 2" xfId="19" xr:uid="{C31AEF19-AC3D-4B3A-8E37-2CEE9C13BF53}"/>
    <cellStyle name="Warning Text 2" xfId="17" xr:uid="{888A5D48-D866-4C48-A499-E2F42B668D45}"/>
  </cellStyles>
  <dxfs count="4">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drawing1.xml><?xml version="1.0" encoding="utf-8"?>
<xdr:wsDr xmlns:xdr="http://schemas.openxmlformats.org/drawingml/2006/spreadsheetDrawing" xmlns:a="http://schemas.openxmlformats.org/drawingml/2006/main">
  <xdr:twoCellAnchor>
    <xdr:from>
      <xdr:col>3</xdr:col>
      <xdr:colOff>1085850</xdr:colOff>
      <xdr:row>2</xdr:row>
      <xdr:rowOff>47625</xdr:rowOff>
    </xdr:from>
    <xdr:to>
      <xdr:col>5</xdr:col>
      <xdr:colOff>476250</xdr:colOff>
      <xdr:row>3</xdr:row>
      <xdr:rowOff>123825</xdr:rowOff>
    </xdr:to>
    <xdr:sp macro="" textlink="">
      <xdr:nvSpPr>
        <xdr:cNvPr id="2" name="Rectangle: Rounded Corners 1">
          <a:extLst>
            <a:ext uri="{FF2B5EF4-FFF2-40B4-BE49-F238E27FC236}">
              <a16:creationId xmlns:a16="http://schemas.microsoft.com/office/drawing/2014/main" id="{0AAB261E-67F1-434F-8B17-B33BD1B5CC6A}"/>
            </a:ext>
          </a:extLst>
        </xdr:cNvPr>
        <xdr:cNvSpPr/>
      </xdr:nvSpPr>
      <xdr:spPr>
        <a:xfrm>
          <a:off x="5095875" y="447675"/>
          <a:ext cx="1809750" cy="276225"/>
        </a:xfrm>
        <a:prstGeom prst="roundRec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l"/>
          <a:r>
            <a:rPr lang="en-IN" sz="1100"/>
            <a:t>ReCreate Forwarder Sheets</a:t>
          </a:r>
        </a:p>
      </xdr:txBody>
    </xdr:sp>
    <xdr:clientData/>
  </xdr:twoCellAnchor>
  <xdr:twoCellAnchor>
    <xdr:from>
      <xdr:col>1</xdr:col>
      <xdr:colOff>952500</xdr:colOff>
      <xdr:row>18</xdr:row>
      <xdr:rowOff>114300</xdr:rowOff>
    </xdr:from>
    <xdr:to>
      <xdr:col>2</xdr:col>
      <xdr:colOff>1009650</xdr:colOff>
      <xdr:row>19</xdr:row>
      <xdr:rowOff>190500</xdr:rowOff>
    </xdr:to>
    <xdr:sp macro="[0]!main" textlink="">
      <xdr:nvSpPr>
        <xdr:cNvPr id="3" name="Rectangle: Rounded Corners 2">
          <a:extLst>
            <a:ext uri="{FF2B5EF4-FFF2-40B4-BE49-F238E27FC236}">
              <a16:creationId xmlns:a16="http://schemas.microsoft.com/office/drawing/2014/main" id="{1AE3B636-09C5-491F-92BC-AEE8536CF578}"/>
            </a:ext>
          </a:extLst>
        </xdr:cNvPr>
        <xdr:cNvSpPr/>
      </xdr:nvSpPr>
      <xdr:spPr>
        <a:xfrm>
          <a:off x="2447925" y="3714750"/>
          <a:ext cx="1533525" cy="276225"/>
        </a:xfrm>
        <a:prstGeom prst="roundRec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l"/>
          <a:r>
            <a:rPr lang="en-IN" sz="1100"/>
            <a:t>Populate MasterSheet</a:t>
          </a:r>
        </a:p>
        <a:p>
          <a:pPr algn="l"/>
          <a:endParaRPr lang="en-IN" sz="1100"/>
        </a:p>
      </xdr:txBody>
    </xdr:sp>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2A913E-60B8-4226-A02C-1A32B496FE56}">
  <sheetPr codeName="shtMaster1">
    <tabColor rgb="FF000000"/>
  </sheetPr>
  <dimension ref="A1:CU2"/>
  <sheetViews>
    <sheetView topLeftCell="D1" workbookViewId="0">
      <selection activeCell="B2" sqref="B2"/>
    </sheetView>
  </sheetViews>
  <sheetFormatPr defaultColWidth="11" defaultRowHeight="15.75" x14ac:dyDescent="0.25"/>
  <cols>
    <col min="1" max="1" width="9.875" bestFit="1" customWidth="1"/>
    <col min="2" max="2" width="51.625" bestFit="1" customWidth="1"/>
    <col min="3" max="3" width="12" bestFit="1" customWidth="1"/>
    <col min="4" max="4" width="8.875" bestFit="1" customWidth="1"/>
    <col min="5" max="5" width="16.375" bestFit="1" customWidth="1"/>
    <col min="6" max="6" width="16" bestFit="1" customWidth="1"/>
    <col min="7" max="7" width="72.375" bestFit="1" customWidth="1"/>
    <col min="8" max="8" width="17.625" bestFit="1" customWidth="1"/>
    <col min="9" max="9" width="95.5" bestFit="1" customWidth="1"/>
    <col min="10" max="10" width="22.125" bestFit="1" customWidth="1"/>
    <col min="11" max="15" width="30.5" bestFit="1" customWidth="1"/>
    <col min="16" max="16" width="95.5" bestFit="1" customWidth="1"/>
    <col min="17" max="17" width="17.5" bestFit="1" customWidth="1"/>
    <col min="18" max="22" width="28.875" bestFit="1" customWidth="1"/>
    <col min="23" max="23" width="95.5" bestFit="1" customWidth="1"/>
    <col min="24" max="24" width="20.875" bestFit="1" customWidth="1"/>
    <col min="25" max="29" width="29.375" bestFit="1" customWidth="1"/>
    <col min="30" max="30" width="95.5" bestFit="1" customWidth="1"/>
    <col min="31" max="31" width="18.5" bestFit="1" customWidth="1"/>
    <col min="32" max="36" width="28.875" bestFit="1" customWidth="1"/>
    <col min="37" max="37" width="95.5" bestFit="1" customWidth="1"/>
    <col min="38" max="38" width="16.375" bestFit="1" customWidth="1"/>
    <col min="39" max="43" width="28.875" customWidth="1"/>
    <col min="44" max="44" width="95.5" bestFit="1" customWidth="1"/>
    <col min="45" max="45" width="16.5" bestFit="1" customWidth="1"/>
    <col min="46" max="50" width="28.875" customWidth="1"/>
    <col min="51" max="51" width="69.125" bestFit="1" customWidth="1"/>
    <col min="52" max="52" width="24.625" bestFit="1" customWidth="1"/>
    <col min="53" max="57" width="33.125" bestFit="1" customWidth="1"/>
    <col min="58" max="58" width="95.5" bestFit="1" customWidth="1"/>
    <col min="59" max="59" width="20.125" bestFit="1" customWidth="1"/>
    <col min="60" max="64" width="28.875" bestFit="1" customWidth="1"/>
    <col min="65" max="65" width="95.5" bestFit="1" customWidth="1"/>
    <col min="66" max="66" width="16.5" bestFit="1" customWidth="1"/>
    <col min="67" max="71" width="28.875" bestFit="1" customWidth="1"/>
    <col min="72" max="72" width="95.5" bestFit="1" customWidth="1"/>
    <col min="73" max="73" width="22.375" bestFit="1" customWidth="1"/>
    <col min="74" max="78" width="30.625" bestFit="1" customWidth="1"/>
    <col min="79" max="79" width="95.5" bestFit="1" customWidth="1"/>
    <col min="80" max="80" width="20.5" bestFit="1" customWidth="1"/>
    <col min="81" max="85" width="29" bestFit="1" customWidth="1"/>
    <col min="86" max="86" width="95.5" bestFit="1" customWidth="1"/>
    <col min="87" max="87" width="20.625" bestFit="1" customWidth="1"/>
    <col min="88" max="92" width="29.125" bestFit="1" customWidth="1"/>
    <col min="93" max="93" width="95.5" bestFit="1" customWidth="1"/>
    <col min="94" max="94" width="20.875" bestFit="1" customWidth="1"/>
    <col min="95" max="99" width="29.375" bestFit="1" customWidth="1"/>
  </cols>
  <sheetData>
    <row r="1" spans="1:99" s="1" customFormat="1" x14ac:dyDescent="0.25">
      <c r="A1" s="1" t="s">
        <v>0</v>
      </c>
      <c r="B1" s="1" t="s">
        <v>7</v>
      </c>
      <c r="C1" s="1" t="s">
        <v>1</v>
      </c>
      <c r="D1" s="1" t="s">
        <v>2</v>
      </c>
      <c r="E1" s="1" t="s">
        <v>3</v>
      </c>
      <c r="F1" s="1" t="s">
        <v>4</v>
      </c>
      <c r="G1" s="1" t="s">
        <v>5</v>
      </c>
      <c r="H1" s="1" t="s">
        <v>6</v>
      </c>
      <c r="I1" s="1" t="s">
        <v>8</v>
      </c>
      <c r="J1" s="1" t="s">
        <v>14</v>
      </c>
      <c r="K1" s="1" t="s">
        <v>9</v>
      </c>
      <c r="L1" s="1" t="s">
        <v>10</v>
      </c>
      <c r="M1" s="1" t="s">
        <v>11</v>
      </c>
      <c r="N1" s="1" t="s">
        <v>12</v>
      </c>
      <c r="O1" s="1" t="s">
        <v>13</v>
      </c>
      <c r="P1" s="1" t="s">
        <v>15</v>
      </c>
      <c r="Q1" s="1" t="s">
        <v>16</v>
      </c>
      <c r="R1" s="1" t="s">
        <v>17</v>
      </c>
      <c r="S1" s="1" t="s">
        <v>18</v>
      </c>
      <c r="T1" s="1" t="s">
        <v>19</v>
      </c>
      <c r="U1" s="1" t="s">
        <v>20</v>
      </c>
      <c r="V1" s="1" t="s">
        <v>21</v>
      </c>
      <c r="W1" s="1" t="s">
        <v>22</v>
      </c>
      <c r="X1" s="1" t="s">
        <v>23</v>
      </c>
      <c r="Y1" s="1" t="s">
        <v>24</v>
      </c>
      <c r="Z1" s="1" t="s">
        <v>25</v>
      </c>
      <c r="AA1" s="1" t="s">
        <v>26</v>
      </c>
      <c r="AB1" s="1" t="s">
        <v>27</v>
      </c>
      <c r="AC1" s="1" t="s">
        <v>28</v>
      </c>
      <c r="AD1" s="1" t="s">
        <v>29</v>
      </c>
      <c r="AE1" s="1" t="s">
        <v>30</v>
      </c>
      <c r="AF1" s="1" t="s">
        <v>31</v>
      </c>
      <c r="AG1" s="1" t="s">
        <v>32</v>
      </c>
      <c r="AH1" s="1" t="s">
        <v>33</v>
      </c>
      <c r="AI1" s="1" t="s">
        <v>34</v>
      </c>
      <c r="AJ1" s="1" t="s">
        <v>35</v>
      </c>
      <c r="AK1" s="1" t="s">
        <v>43</v>
      </c>
      <c r="AL1" s="1" t="s">
        <v>44</v>
      </c>
      <c r="AM1" s="1" t="s">
        <v>45</v>
      </c>
      <c r="AN1" s="1" t="s">
        <v>46</v>
      </c>
      <c r="AO1" s="1" t="s">
        <v>47</v>
      </c>
      <c r="AP1" s="1" t="s">
        <v>48</v>
      </c>
      <c r="AQ1" s="1" t="s">
        <v>49</v>
      </c>
      <c r="AR1" s="1" t="s">
        <v>50</v>
      </c>
      <c r="AS1" s="1" t="s">
        <v>51</v>
      </c>
      <c r="AT1" s="1" t="s">
        <v>52</v>
      </c>
      <c r="AU1" s="1" t="s">
        <v>53</v>
      </c>
      <c r="AV1" s="1" t="s">
        <v>54</v>
      </c>
      <c r="AW1" s="1" t="s">
        <v>55</v>
      </c>
      <c r="AX1" s="1" t="s">
        <v>56</v>
      </c>
      <c r="AY1" s="1" t="s">
        <v>36</v>
      </c>
      <c r="AZ1" s="1" t="s">
        <v>37</v>
      </c>
      <c r="BA1" s="1" t="s">
        <v>38</v>
      </c>
      <c r="BB1" s="1" t="s">
        <v>39</v>
      </c>
      <c r="BC1" s="1" t="s">
        <v>40</v>
      </c>
      <c r="BD1" s="1" t="s">
        <v>41</v>
      </c>
      <c r="BE1" s="1" t="s">
        <v>42</v>
      </c>
      <c r="BF1" s="1" t="s">
        <v>57</v>
      </c>
      <c r="BG1" s="1" t="s">
        <v>58</v>
      </c>
      <c r="BH1" s="1" t="s">
        <v>59</v>
      </c>
      <c r="BI1" s="1" t="s">
        <v>60</v>
      </c>
      <c r="BJ1" s="1" t="s">
        <v>61</v>
      </c>
      <c r="BK1" s="1" t="s">
        <v>62</v>
      </c>
      <c r="BL1" s="1" t="s">
        <v>63</v>
      </c>
      <c r="BM1" s="1" t="s">
        <v>78</v>
      </c>
      <c r="BN1" s="1" t="s">
        <v>79</v>
      </c>
      <c r="BO1" s="1" t="s">
        <v>80</v>
      </c>
      <c r="BP1" s="1" t="s">
        <v>81</v>
      </c>
      <c r="BQ1" s="1" t="s">
        <v>82</v>
      </c>
      <c r="BR1" s="1" t="s">
        <v>83</v>
      </c>
      <c r="BS1" s="1" t="s">
        <v>84</v>
      </c>
      <c r="BT1" s="1" t="s">
        <v>64</v>
      </c>
      <c r="BU1" s="1" t="s">
        <v>65</v>
      </c>
      <c r="BV1" s="1" t="s">
        <v>66</v>
      </c>
      <c r="BW1" s="1" t="s">
        <v>67</v>
      </c>
      <c r="BX1" s="1" t="s">
        <v>68</v>
      </c>
      <c r="BY1" s="1" t="s">
        <v>69</v>
      </c>
      <c r="BZ1" s="1" t="s">
        <v>70</v>
      </c>
      <c r="CA1" s="1" t="s">
        <v>71</v>
      </c>
      <c r="CB1" s="1" t="s">
        <v>72</v>
      </c>
      <c r="CC1" s="1" t="s">
        <v>73</v>
      </c>
      <c r="CD1" s="1" t="s">
        <v>74</v>
      </c>
      <c r="CE1" s="1" t="s">
        <v>75</v>
      </c>
      <c r="CF1" s="1" t="s">
        <v>76</v>
      </c>
      <c r="CG1" s="1" t="s">
        <v>77</v>
      </c>
      <c r="CH1" s="1" t="s">
        <v>85</v>
      </c>
      <c r="CI1" s="1" t="s">
        <v>86</v>
      </c>
      <c r="CJ1" s="1" t="s">
        <v>87</v>
      </c>
      <c r="CK1" s="1" t="s">
        <v>88</v>
      </c>
      <c r="CL1" s="1" t="s">
        <v>89</v>
      </c>
      <c r="CM1" s="1" t="s">
        <v>90</v>
      </c>
      <c r="CN1" s="1" t="s">
        <v>91</v>
      </c>
      <c r="CO1" s="1" t="s">
        <v>92</v>
      </c>
      <c r="CP1" s="1" t="s">
        <v>93</v>
      </c>
      <c r="CQ1" s="1" t="s">
        <v>94</v>
      </c>
      <c r="CR1" s="1" t="s">
        <v>95</v>
      </c>
      <c r="CS1" s="1" t="s">
        <v>96</v>
      </c>
      <c r="CT1" s="1" t="s">
        <v>97</v>
      </c>
      <c r="CU1" s="1" t="s">
        <v>98</v>
      </c>
    </row>
    <row r="2" spans="1:99" x14ac:dyDescent="0.25">
      <c r="G2" s="2"/>
      <c r="AY2" s="2"/>
    </row>
  </sheetData>
  <conditionalFormatting sqref="A1:CU2">
    <cfRule type="expression" dxfId="1" priority="1">
      <formula>A$2="Final value, if there is no data from any of the forwarders but there is data in ERP we use the data from the ERP"</formula>
    </cfRule>
    <cfRule type="expression" dxfId="0" priority="2">
      <formula>ISNUMBER(SEARCH("final value",A$2))</formula>
    </cfRule>
  </conditionalFormatting>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72920-6E9F-344F-BD19-41147B8B4242}">
  <sheetPr codeName="shtReq">
    <tabColor theme="9"/>
  </sheetPr>
  <dimension ref="A1:B31"/>
  <sheetViews>
    <sheetView topLeftCell="A3" workbookViewId="0">
      <selection activeCell="A28" sqref="A28"/>
    </sheetView>
  </sheetViews>
  <sheetFormatPr defaultColWidth="11" defaultRowHeight="15.75" x14ac:dyDescent="0.25"/>
  <cols>
    <col min="1" max="1" width="151.375" customWidth="1"/>
  </cols>
  <sheetData>
    <row r="1" spans="1:2" x14ac:dyDescent="0.25">
      <c r="A1" s="2" t="s">
        <v>102</v>
      </c>
    </row>
    <row r="2" spans="1:2" x14ac:dyDescent="0.25">
      <c r="A2" s="2" t="s">
        <v>103</v>
      </c>
    </row>
    <row r="3" spans="1:2" x14ac:dyDescent="0.25">
      <c r="A3" s="2" t="s">
        <v>104</v>
      </c>
    </row>
    <row r="4" spans="1:2" x14ac:dyDescent="0.25">
      <c r="A4" s="2" t="s">
        <v>110</v>
      </c>
    </row>
    <row r="5" spans="1:2" x14ac:dyDescent="0.25">
      <c r="A5" s="2" t="s">
        <v>105</v>
      </c>
    </row>
    <row r="6" spans="1:2" x14ac:dyDescent="0.25">
      <c r="A6" s="4" t="s">
        <v>106</v>
      </c>
      <c r="B6" t="s">
        <v>129</v>
      </c>
    </row>
    <row r="7" spans="1:2" x14ac:dyDescent="0.25">
      <c r="A7" s="2" t="s">
        <v>107</v>
      </c>
    </row>
    <row r="8" spans="1:2" x14ac:dyDescent="0.25">
      <c r="A8" s="2" t="s">
        <v>108</v>
      </c>
    </row>
    <row r="9" spans="1:2" ht="31.5" x14ac:dyDescent="0.25">
      <c r="A9" s="2" t="s">
        <v>109</v>
      </c>
    </row>
    <row r="10" spans="1:2" x14ac:dyDescent="0.25">
      <c r="A10" s="2" t="s">
        <v>113</v>
      </c>
    </row>
    <row r="11" spans="1:2" x14ac:dyDescent="0.25">
      <c r="A11" s="2" t="s">
        <v>114</v>
      </c>
    </row>
    <row r="12" spans="1:2" ht="31.5" x14ac:dyDescent="0.25">
      <c r="A12" s="2" t="s">
        <v>115</v>
      </c>
    </row>
    <row r="13" spans="1:2" x14ac:dyDescent="0.25">
      <c r="A13" s="2"/>
    </row>
    <row r="14" spans="1:2" x14ac:dyDescent="0.25">
      <c r="A14" s="6" t="s">
        <v>132</v>
      </c>
    </row>
    <row r="15" spans="1:2" x14ac:dyDescent="0.25">
      <c r="A15" t="s">
        <v>131</v>
      </c>
    </row>
    <row r="16" spans="1:2" x14ac:dyDescent="0.25">
      <c r="A16" t="s">
        <v>133</v>
      </c>
    </row>
    <row r="17" spans="1:1" x14ac:dyDescent="0.25">
      <c r="A17" t="s">
        <v>134</v>
      </c>
    </row>
    <row r="18" spans="1:1" x14ac:dyDescent="0.25">
      <c r="A18" t="s">
        <v>135</v>
      </c>
    </row>
    <row r="19" spans="1:1" x14ac:dyDescent="0.25">
      <c r="A19" t="s">
        <v>130</v>
      </c>
    </row>
    <row r="21" spans="1:1" x14ac:dyDescent="0.25">
      <c r="A21" s="1" t="s">
        <v>136</v>
      </c>
    </row>
    <row r="22" spans="1:1" x14ac:dyDescent="0.25">
      <c r="A22" t="s">
        <v>137</v>
      </c>
    </row>
    <row r="24" spans="1:1" x14ac:dyDescent="0.25">
      <c r="A24" s="1" t="s">
        <v>138</v>
      </c>
    </row>
    <row r="25" spans="1:1" x14ac:dyDescent="0.25">
      <c r="A25" t="s">
        <v>139</v>
      </c>
    </row>
    <row r="27" spans="1:1" x14ac:dyDescent="0.25">
      <c r="A27" s="1" t="s">
        <v>140</v>
      </c>
    </row>
    <row r="28" spans="1:1" ht="31.5" x14ac:dyDescent="0.25">
      <c r="A28" s="2" t="s">
        <v>141</v>
      </c>
    </row>
    <row r="30" spans="1:1" x14ac:dyDescent="0.25">
      <c r="A30" s="1" t="s">
        <v>151</v>
      </c>
    </row>
    <row r="31" spans="1:1" ht="47.25" x14ac:dyDescent="0.25">
      <c r="A31" s="2" t="s">
        <v>152</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7329A4-12C6-4926-BEAF-1D23BA86108E}">
  <sheetPr codeName="shtInst">
    <tabColor theme="9"/>
  </sheetPr>
  <dimension ref="A1:C5"/>
  <sheetViews>
    <sheetView workbookViewId="0">
      <selection activeCell="F17" sqref="F17"/>
    </sheetView>
  </sheetViews>
  <sheetFormatPr defaultColWidth="8.875" defaultRowHeight="15.75" x14ac:dyDescent="0.25"/>
  <cols>
    <col min="1" max="1" width="3" customWidth="1"/>
    <col min="2" max="2" width="19.875" bestFit="1" customWidth="1"/>
    <col min="3" max="3" width="70.625" customWidth="1"/>
  </cols>
  <sheetData>
    <row r="1" spans="1:3" x14ac:dyDescent="0.25">
      <c r="A1" t="s">
        <v>118</v>
      </c>
      <c r="B1" t="s">
        <v>119</v>
      </c>
      <c r="C1" t="s">
        <v>120</v>
      </c>
    </row>
    <row r="2" spans="1:3" ht="78.75" x14ac:dyDescent="0.25">
      <c r="A2">
        <v>1</v>
      </c>
      <c r="B2" t="s">
        <v>121</v>
      </c>
      <c r="C2" s="2" t="s">
        <v>127</v>
      </c>
    </row>
    <row r="3" spans="1:3" x14ac:dyDescent="0.25">
      <c r="A3">
        <v>2</v>
      </c>
      <c r="B3" t="s">
        <v>124</v>
      </c>
      <c r="C3" s="2" t="s">
        <v>125</v>
      </c>
    </row>
    <row r="4" spans="1:3" ht="47.25" x14ac:dyDescent="0.25">
      <c r="A4">
        <v>3</v>
      </c>
      <c r="B4" t="s">
        <v>122</v>
      </c>
      <c r="C4" s="2" t="s">
        <v>123</v>
      </c>
    </row>
    <row r="5" spans="1:3" ht="47.25" x14ac:dyDescent="0.25">
      <c r="A5">
        <v>4</v>
      </c>
      <c r="B5" s="5" t="s">
        <v>126</v>
      </c>
      <c r="C5" s="2" t="s">
        <v>128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E147B4-584F-DA4B-83D9-9B0547361B5B}">
  <sheetPr codeName="shtPriority">
    <tabColor theme="9"/>
  </sheetPr>
  <dimension ref="A1:P31"/>
  <sheetViews>
    <sheetView workbookViewId="0">
      <selection activeCell="B30" sqref="B30"/>
    </sheetView>
  </sheetViews>
  <sheetFormatPr defaultColWidth="11" defaultRowHeight="15.75" x14ac:dyDescent="0.25"/>
  <cols>
    <col min="1" max="1" width="19.625" bestFit="1" customWidth="1"/>
    <col min="2" max="2" width="76.5" bestFit="1" customWidth="1"/>
    <col min="3" max="3" width="13.625" bestFit="1" customWidth="1"/>
    <col min="4" max="4" width="19.125" bestFit="1" customWidth="1"/>
    <col min="5" max="5" width="17.625" bestFit="1" customWidth="1"/>
    <col min="6" max="6" width="15.25" bestFit="1" customWidth="1"/>
    <col min="7" max="7" width="23.625" bestFit="1" customWidth="1"/>
    <col min="8" max="8" width="20.875" bestFit="1" customWidth="1"/>
    <col min="9" max="9" width="16.5" bestFit="1" customWidth="1"/>
    <col min="10" max="10" width="20.875" bestFit="1" customWidth="1"/>
    <col min="11" max="11" width="17.125" bestFit="1" customWidth="1"/>
    <col min="12" max="12" width="12.5" bestFit="1" customWidth="1"/>
    <col min="13" max="13" width="18.625" bestFit="1" customWidth="1"/>
    <col min="14" max="14" width="16.75" bestFit="1" customWidth="1"/>
    <col min="15" max="15" width="17.375" bestFit="1" customWidth="1"/>
    <col min="16" max="16" width="17.5" bestFit="1" customWidth="1"/>
  </cols>
  <sheetData>
    <row r="1" spans="1:2" x14ac:dyDescent="0.25">
      <c r="A1" s="3" t="s">
        <v>112</v>
      </c>
      <c r="B1" t="s">
        <v>116</v>
      </c>
    </row>
    <row r="2" spans="1:2" x14ac:dyDescent="0.25">
      <c r="A2" s="3" t="s">
        <v>100</v>
      </c>
      <c r="B2" s="3" t="s">
        <v>99</v>
      </c>
    </row>
    <row r="3" spans="1:2" x14ac:dyDescent="0.25">
      <c r="A3" s="13" t="s">
        <v>101</v>
      </c>
      <c r="B3" s="13">
        <v>7</v>
      </c>
    </row>
    <row r="4" spans="1:2" x14ac:dyDescent="0.25">
      <c r="A4" s="13" t="s">
        <v>158</v>
      </c>
      <c r="B4" s="13">
        <v>2</v>
      </c>
    </row>
    <row r="5" spans="1:2" x14ac:dyDescent="0.25">
      <c r="A5" s="13" t="s">
        <v>336</v>
      </c>
      <c r="B5" s="13">
        <v>3</v>
      </c>
    </row>
    <row r="6" spans="1:2" x14ac:dyDescent="0.25">
      <c r="A6" s="13" t="s">
        <v>176</v>
      </c>
      <c r="B6" s="13">
        <v>1</v>
      </c>
    </row>
    <row r="7" spans="1:2" x14ac:dyDescent="0.25">
      <c r="A7" s="13" t="s">
        <v>159</v>
      </c>
      <c r="B7" s="13">
        <v>4</v>
      </c>
    </row>
    <row r="8" spans="1:2" x14ac:dyDescent="0.25">
      <c r="A8" s="13" t="s">
        <v>380</v>
      </c>
      <c r="B8" s="13">
        <v>9</v>
      </c>
    </row>
    <row r="9" spans="1:2" x14ac:dyDescent="0.25">
      <c r="A9" s="13" t="s">
        <v>175</v>
      </c>
      <c r="B9" s="13">
        <v>8</v>
      </c>
    </row>
    <row r="10" spans="1:2" x14ac:dyDescent="0.25">
      <c r="A10" s="13" t="s">
        <v>324</v>
      </c>
      <c r="B10" s="13">
        <v>5</v>
      </c>
    </row>
    <row r="11" spans="1:2" x14ac:dyDescent="0.25">
      <c r="A11" s="13" t="s">
        <v>379</v>
      </c>
      <c r="B11" s="13">
        <v>6</v>
      </c>
    </row>
    <row r="12" spans="1:2" x14ac:dyDescent="0.25">
      <c r="A12" s="13" t="s">
        <v>318</v>
      </c>
      <c r="B12" s="13">
        <v>10</v>
      </c>
    </row>
    <row r="20" spans="1:16" x14ac:dyDescent="0.25">
      <c r="A20" s="3" t="s">
        <v>111</v>
      </c>
    </row>
    <row r="21" spans="1:16" x14ac:dyDescent="0.25">
      <c r="A21" s="3" t="s">
        <v>100</v>
      </c>
      <c r="B21" s="1" t="s">
        <v>8</v>
      </c>
      <c r="C21" s="1" t="s">
        <v>15</v>
      </c>
      <c r="D21" s="1" t="s">
        <v>317</v>
      </c>
      <c r="E21" s="1" t="s">
        <v>22</v>
      </c>
      <c r="F21" s="1" t="s">
        <v>29</v>
      </c>
      <c r="G21" s="1" t="s">
        <v>335</v>
      </c>
      <c r="H21" s="1" t="s">
        <v>43</v>
      </c>
      <c r="I21" s="1" t="s">
        <v>50</v>
      </c>
      <c r="J21" s="1" t="s">
        <v>36</v>
      </c>
      <c r="K21" s="1" t="s">
        <v>57</v>
      </c>
      <c r="L21" s="1" t="s">
        <v>78</v>
      </c>
      <c r="M21" s="1" t="s">
        <v>64</v>
      </c>
      <c r="N21" s="1" t="s">
        <v>71</v>
      </c>
      <c r="O21" s="1" t="s">
        <v>85</v>
      </c>
      <c r="P21" s="1" t="s">
        <v>92</v>
      </c>
    </row>
    <row r="22" spans="1:16" x14ac:dyDescent="0.25">
      <c r="A22" t="s">
        <v>101</v>
      </c>
      <c r="B22">
        <v>2</v>
      </c>
      <c r="C22">
        <v>6</v>
      </c>
      <c r="E22">
        <v>9</v>
      </c>
      <c r="F22">
        <v>6</v>
      </c>
      <c r="J22">
        <v>6</v>
      </c>
      <c r="L22">
        <v>2</v>
      </c>
      <c r="M22">
        <v>6</v>
      </c>
    </row>
    <row r="23" spans="1:16" x14ac:dyDescent="0.25">
      <c r="A23" t="s">
        <v>158</v>
      </c>
      <c r="B23">
        <v>1</v>
      </c>
      <c r="C23">
        <v>2</v>
      </c>
      <c r="E23">
        <v>2</v>
      </c>
      <c r="F23">
        <v>2</v>
      </c>
      <c r="J23">
        <v>2</v>
      </c>
      <c r="L23">
        <v>3</v>
      </c>
      <c r="M23">
        <v>2</v>
      </c>
    </row>
    <row r="24" spans="1:16" x14ac:dyDescent="0.25">
      <c r="A24" t="s">
        <v>336</v>
      </c>
      <c r="B24">
        <v>3</v>
      </c>
      <c r="C24">
        <v>3</v>
      </c>
      <c r="E24">
        <v>3</v>
      </c>
      <c r="F24">
        <v>3</v>
      </c>
      <c r="J24">
        <v>3</v>
      </c>
      <c r="L24">
        <v>7</v>
      </c>
      <c r="M24">
        <v>3</v>
      </c>
    </row>
    <row r="25" spans="1:16" x14ac:dyDescent="0.25">
      <c r="A25" t="s">
        <v>176</v>
      </c>
      <c r="B25">
        <v>6</v>
      </c>
      <c r="C25">
        <v>1</v>
      </c>
      <c r="E25">
        <v>1</v>
      </c>
      <c r="F25">
        <v>1</v>
      </c>
      <c r="J25">
        <v>1</v>
      </c>
      <c r="L25">
        <v>4</v>
      </c>
      <c r="M25">
        <v>1</v>
      </c>
    </row>
    <row r="26" spans="1:16" x14ac:dyDescent="0.25">
      <c r="A26" t="s">
        <v>159</v>
      </c>
      <c r="B26">
        <v>4</v>
      </c>
      <c r="C26">
        <v>10</v>
      </c>
      <c r="E26">
        <v>4</v>
      </c>
      <c r="F26">
        <v>4</v>
      </c>
      <c r="J26">
        <v>4</v>
      </c>
      <c r="L26">
        <v>5</v>
      </c>
      <c r="M26">
        <v>4</v>
      </c>
    </row>
    <row r="27" spans="1:16" x14ac:dyDescent="0.25">
      <c r="A27" t="s">
        <v>380</v>
      </c>
      <c r="B27">
        <v>8</v>
      </c>
      <c r="C27">
        <v>8</v>
      </c>
      <c r="E27">
        <v>8</v>
      </c>
      <c r="F27">
        <v>8</v>
      </c>
      <c r="J27">
        <v>8</v>
      </c>
      <c r="L27">
        <v>1</v>
      </c>
      <c r="M27">
        <v>8</v>
      </c>
    </row>
    <row r="28" spans="1:16" x14ac:dyDescent="0.25">
      <c r="A28" t="s">
        <v>175</v>
      </c>
      <c r="B28">
        <v>5</v>
      </c>
      <c r="C28">
        <v>5</v>
      </c>
      <c r="E28">
        <v>5</v>
      </c>
      <c r="F28">
        <v>5</v>
      </c>
      <c r="J28">
        <v>5</v>
      </c>
      <c r="L28">
        <v>6</v>
      </c>
      <c r="M28">
        <v>5</v>
      </c>
    </row>
    <row r="29" spans="1:16" x14ac:dyDescent="0.25">
      <c r="A29" t="s">
        <v>324</v>
      </c>
      <c r="B29">
        <v>7</v>
      </c>
      <c r="C29">
        <v>7</v>
      </c>
      <c r="E29">
        <v>7</v>
      </c>
      <c r="F29">
        <v>7</v>
      </c>
      <c r="J29">
        <v>7</v>
      </c>
      <c r="L29">
        <v>8</v>
      </c>
      <c r="M29">
        <v>7</v>
      </c>
    </row>
    <row r="30" spans="1:16" x14ac:dyDescent="0.25">
      <c r="A30" t="s">
        <v>379</v>
      </c>
      <c r="B30">
        <v>10</v>
      </c>
      <c r="C30">
        <v>4</v>
      </c>
      <c r="E30">
        <v>10</v>
      </c>
      <c r="F30">
        <v>10</v>
      </c>
      <c r="J30">
        <v>10</v>
      </c>
      <c r="L30">
        <v>10</v>
      </c>
      <c r="M30">
        <v>10</v>
      </c>
    </row>
    <row r="31" spans="1:16" x14ac:dyDescent="0.25">
      <c r="A31" t="s">
        <v>318</v>
      </c>
      <c r="B31">
        <v>9</v>
      </c>
      <c r="C31">
        <v>9</v>
      </c>
      <c r="E31">
        <v>6</v>
      </c>
      <c r="F31">
        <v>9</v>
      </c>
      <c r="J31">
        <v>9</v>
      </c>
      <c r="L31">
        <v>9</v>
      </c>
      <c r="M31">
        <v>9</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681E8-30BB-EF4A-857A-39EEFD120815}">
  <sheetPr codeName="shtMaster">
    <tabColor theme="9"/>
  </sheetPr>
  <dimension ref="A1:FQ70"/>
  <sheetViews>
    <sheetView zoomScale="85" zoomScaleNormal="85" workbookViewId="0">
      <pane ySplit="1" topLeftCell="A2" activePane="bottomLeft" state="frozen"/>
      <selection pane="bottomLeft" activeCell="E20" sqref="E20"/>
    </sheetView>
  </sheetViews>
  <sheetFormatPr defaultColWidth="11" defaultRowHeight="15.75" outlineLevelCol="1" x14ac:dyDescent="0.25"/>
  <cols>
    <col min="1" max="24" width="25.625" customWidth="1"/>
    <col min="25" max="32" width="25.625" customWidth="1" outlineLevel="1"/>
    <col min="33" max="173" width="25.625" customWidth="1"/>
  </cols>
  <sheetData>
    <row r="1" spans="1:173" x14ac:dyDescent="0.25">
      <c r="A1" t="s">
        <v>0</v>
      </c>
      <c r="B1" t="s">
        <v>7</v>
      </c>
      <c r="C1" t="s">
        <v>1</v>
      </c>
      <c r="D1" t="s">
        <v>2</v>
      </c>
      <c r="E1" t="s">
        <v>3</v>
      </c>
      <c r="F1" t="s">
        <v>4</v>
      </c>
      <c r="G1" t="s">
        <v>5</v>
      </c>
      <c r="H1" s="12" t="s">
        <v>6</v>
      </c>
      <c r="I1" s="22" t="s">
        <v>8</v>
      </c>
      <c r="J1" t="s">
        <v>14</v>
      </c>
      <c r="K1" t="s">
        <v>668</v>
      </c>
      <c r="L1" t="s">
        <v>669</v>
      </c>
      <c r="M1" t="s">
        <v>670</v>
      </c>
      <c r="N1" t="s">
        <v>671</v>
      </c>
      <c r="O1" t="s">
        <v>672</v>
      </c>
      <c r="P1" t="s">
        <v>673</v>
      </c>
      <c r="Q1" t="s">
        <v>674</v>
      </c>
      <c r="R1" t="s">
        <v>675</v>
      </c>
      <c r="S1" t="s">
        <v>676</v>
      </c>
      <c r="T1" s="22" t="s">
        <v>15</v>
      </c>
      <c r="U1" t="s">
        <v>16</v>
      </c>
      <c r="V1" t="s">
        <v>677</v>
      </c>
      <c r="W1" t="s">
        <v>678</v>
      </c>
      <c r="X1" t="s">
        <v>679</v>
      </c>
      <c r="Y1" t="s">
        <v>680</v>
      </c>
      <c r="Z1" t="s">
        <v>681</v>
      </c>
      <c r="AA1" t="s">
        <v>682</v>
      </c>
      <c r="AB1" t="s">
        <v>683</v>
      </c>
      <c r="AC1" t="s">
        <v>684</v>
      </c>
      <c r="AD1" t="s">
        <v>685</v>
      </c>
      <c r="AE1" s="22" t="s">
        <v>317</v>
      </c>
      <c r="AF1" t="s">
        <v>686</v>
      </c>
      <c r="AG1" t="s">
        <v>687</v>
      </c>
      <c r="AH1" t="s">
        <v>688</v>
      </c>
      <c r="AI1" t="s">
        <v>689</v>
      </c>
      <c r="AJ1" t="s">
        <v>690</v>
      </c>
      <c r="AK1" t="s">
        <v>691</v>
      </c>
      <c r="AL1" t="s">
        <v>692</v>
      </c>
      <c r="AM1" t="s">
        <v>693</v>
      </c>
      <c r="AN1" t="s">
        <v>694</v>
      </c>
      <c r="AO1" t="s">
        <v>695</v>
      </c>
      <c r="AP1" s="22" t="s">
        <v>22</v>
      </c>
      <c r="AQ1" t="s">
        <v>23</v>
      </c>
      <c r="AR1" t="s">
        <v>696</v>
      </c>
      <c r="AS1" t="s">
        <v>697</v>
      </c>
      <c r="AT1" t="s">
        <v>698</v>
      </c>
      <c r="AU1" t="s">
        <v>699</v>
      </c>
      <c r="AV1" t="s">
        <v>700</v>
      </c>
      <c r="AW1" t="s">
        <v>701</v>
      </c>
      <c r="AX1" t="s">
        <v>702</v>
      </c>
      <c r="AY1" t="s">
        <v>703</v>
      </c>
      <c r="AZ1" t="s">
        <v>704</v>
      </c>
      <c r="BA1" s="22" t="s">
        <v>29</v>
      </c>
      <c r="BB1" t="s">
        <v>30</v>
      </c>
      <c r="BC1" t="s">
        <v>705</v>
      </c>
      <c r="BD1" t="s">
        <v>706</v>
      </c>
      <c r="BE1" t="s">
        <v>707</v>
      </c>
      <c r="BF1" t="s">
        <v>708</v>
      </c>
      <c r="BG1" t="s">
        <v>709</v>
      </c>
      <c r="BH1" t="s">
        <v>710</v>
      </c>
      <c r="BI1" t="s">
        <v>711</v>
      </c>
      <c r="BJ1" t="s">
        <v>712</v>
      </c>
      <c r="BK1" t="s">
        <v>713</v>
      </c>
      <c r="BL1" s="22" t="s">
        <v>335</v>
      </c>
      <c r="BM1" t="s">
        <v>714</v>
      </c>
      <c r="BN1" t="s">
        <v>715</v>
      </c>
      <c r="BO1" t="s">
        <v>716</v>
      </c>
      <c r="BP1" t="s">
        <v>717</v>
      </c>
      <c r="BQ1" t="s">
        <v>718</v>
      </c>
      <c r="BR1" t="s">
        <v>719</v>
      </c>
      <c r="BS1" t="s">
        <v>720</v>
      </c>
      <c r="BT1" t="s">
        <v>721</v>
      </c>
      <c r="BU1" t="s">
        <v>722</v>
      </c>
      <c r="BV1" t="s">
        <v>723</v>
      </c>
      <c r="BW1" s="22" t="s">
        <v>43</v>
      </c>
      <c r="BX1" t="s">
        <v>44</v>
      </c>
      <c r="BY1" t="s">
        <v>724</v>
      </c>
      <c r="BZ1" t="s">
        <v>725</v>
      </c>
      <c r="CA1" t="s">
        <v>726</v>
      </c>
      <c r="CB1" t="s">
        <v>727</v>
      </c>
      <c r="CC1" t="s">
        <v>728</v>
      </c>
      <c r="CD1" t="s">
        <v>729</v>
      </c>
      <c r="CE1" t="s">
        <v>730</v>
      </c>
      <c r="CF1" t="s">
        <v>731</v>
      </c>
      <c r="CG1" t="s">
        <v>732</v>
      </c>
      <c r="CH1" s="22" t="s">
        <v>50</v>
      </c>
      <c r="CI1" t="s">
        <v>51</v>
      </c>
      <c r="CJ1" t="s">
        <v>733</v>
      </c>
      <c r="CK1" t="s">
        <v>734</v>
      </c>
      <c r="CL1" t="s">
        <v>735</v>
      </c>
      <c r="CM1" t="s">
        <v>736</v>
      </c>
      <c r="CN1" t="s">
        <v>737</v>
      </c>
      <c r="CO1" t="s">
        <v>738</v>
      </c>
      <c r="CP1" t="s">
        <v>739</v>
      </c>
      <c r="CQ1" t="s">
        <v>740</v>
      </c>
      <c r="CR1" t="s">
        <v>741</v>
      </c>
      <c r="CS1" s="22" t="s">
        <v>36</v>
      </c>
      <c r="CT1" t="s">
        <v>37</v>
      </c>
      <c r="CU1" t="s">
        <v>742</v>
      </c>
      <c r="CV1" t="s">
        <v>743</v>
      </c>
      <c r="CW1" t="s">
        <v>744</v>
      </c>
      <c r="CX1" t="s">
        <v>745</v>
      </c>
      <c r="CY1" t="s">
        <v>746</v>
      </c>
      <c r="CZ1" t="s">
        <v>747</v>
      </c>
      <c r="DA1" t="s">
        <v>748</v>
      </c>
      <c r="DB1" t="s">
        <v>749</v>
      </c>
      <c r="DC1" t="s">
        <v>750</v>
      </c>
      <c r="DD1" s="22" t="s">
        <v>57</v>
      </c>
      <c r="DE1" t="s">
        <v>58</v>
      </c>
      <c r="DF1" t="s">
        <v>751</v>
      </c>
      <c r="DG1" t="s">
        <v>752</v>
      </c>
      <c r="DH1" t="s">
        <v>753</v>
      </c>
      <c r="DI1" t="s">
        <v>754</v>
      </c>
      <c r="DJ1" t="s">
        <v>755</v>
      </c>
      <c r="DK1" t="s">
        <v>756</v>
      </c>
      <c r="DL1" t="s">
        <v>757</v>
      </c>
      <c r="DM1" t="s">
        <v>758</v>
      </c>
      <c r="DN1" t="s">
        <v>759</v>
      </c>
      <c r="DO1" s="22" t="s">
        <v>78</v>
      </c>
      <c r="DP1" t="s">
        <v>79</v>
      </c>
      <c r="DQ1" t="s">
        <v>760</v>
      </c>
      <c r="DR1" t="s">
        <v>761</v>
      </c>
      <c r="DS1" t="s">
        <v>762</v>
      </c>
      <c r="DT1" t="s">
        <v>763</v>
      </c>
      <c r="DU1" t="s">
        <v>764</v>
      </c>
      <c r="DV1" t="s">
        <v>765</v>
      </c>
      <c r="DW1" t="s">
        <v>766</v>
      </c>
      <c r="DX1" t="s">
        <v>767</v>
      </c>
      <c r="DY1" t="s">
        <v>768</v>
      </c>
      <c r="DZ1" s="22" t="s">
        <v>64</v>
      </c>
      <c r="EA1" t="s">
        <v>65</v>
      </c>
      <c r="EB1" t="s">
        <v>769</v>
      </c>
      <c r="EC1" t="s">
        <v>770</v>
      </c>
      <c r="ED1" t="s">
        <v>771</v>
      </c>
      <c r="EE1" t="s">
        <v>772</v>
      </c>
      <c r="EF1" t="s">
        <v>773</v>
      </c>
      <c r="EG1" t="s">
        <v>774</v>
      </c>
      <c r="EH1" t="s">
        <v>775</v>
      </c>
      <c r="EI1" t="s">
        <v>776</v>
      </c>
      <c r="EJ1" t="s">
        <v>777</v>
      </c>
      <c r="EK1" s="22" t="s">
        <v>71</v>
      </c>
      <c r="EL1" t="s">
        <v>72</v>
      </c>
      <c r="EM1" t="s">
        <v>778</v>
      </c>
      <c r="EN1" t="s">
        <v>779</v>
      </c>
      <c r="EO1" t="s">
        <v>780</v>
      </c>
      <c r="EP1" t="s">
        <v>781</v>
      </c>
      <c r="EQ1" t="s">
        <v>782</v>
      </c>
      <c r="ER1" t="s">
        <v>783</v>
      </c>
      <c r="ES1" t="s">
        <v>784</v>
      </c>
      <c r="ET1" t="s">
        <v>785</v>
      </c>
      <c r="EU1" t="s">
        <v>786</v>
      </c>
      <c r="EV1" s="22" t="s">
        <v>85</v>
      </c>
      <c r="EW1" t="s">
        <v>86</v>
      </c>
      <c r="EX1" t="s">
        <v>787</v>
      </c>
      <c r="EY1" t="s">
        <v>788</v>
      </c>
      <c r="EZ1" t="s">
        <v>789</v>
      </c>
      <c r="FA1" t="s">
        <v>790</v>
      </c>
      <c r="FB1" t="s">
        <v>791</v>
      </c>
      <c r="FC1" t="s">
        <v>792</v>
      </c>
      <c r="FD1" t="s">
        <v>793</v>
      </c>
      <c r="FE1" t="s">
        <v>794</v>
      </c>
      <c r="FF1" t="s">
        <v>795</v>
      </c>
      <c r="FG1" s="22" t="s">
        <v>92</v>
      </c>
      <c r="FH1" t="s">
        <v>93</v>
      </c>
      <c r="FI1" t="s">
        <v>796</v>
      </c>
      <c r="FJ1" t="s">
        <v>797</v>
      </c>
      <c r="FK1" t="s">
        <v>798</v>
      </c>
      <c r="FL1" t="s">
        <v>799</v>
      </c>
      <c r="FM1" t="s">
        <v>800</v>
      </c>
      <c r="FN1" t="s">
        <v>801</v>
      </c>
      <c r="FO1" t="s">
        <v>802</v>
      </c>
      <c r="FP1" t="s">
        <v>803</v>
      </c>
      <c r="FQ1" t="s">
        <v>804</v>
      </c>
    </row>
    <row r="2" spans="1:173" x14ac:dyDescent="0.25">
      <c r="A2">
        <v>4066</v>
      </c>
      <c r="B2" t="str">
        <f t="shared" ref="B2:B33" si="0">G2&amp; "|" &amp;H2</f>
        <v>MSDU6126974|TCS1XQ64820</v>
      </c>
      <c r="C2" s="24">
        <v>46181.385011574072</v>
      </c>
      <c r="D2" t="s">
        <v>805</v>
      </c>
      <c r="E2" t="s">
        <v>407</v>
      </c>
      <c r="F2" t="s">
        <v>408</v>
      </c>
      <c r="G2" t="s">
        <v>409</v>
      </c>
      <c r="H2" t="s">
        <v>410</v>
      </c>
      <c r="I2" s="22" t="str">
        <f t="shared" ref="I2:I33" si="1">IF(COUNTIF(K2:S2,"&lt;&gt;"&amp;"")=0,"",IF(IF(K2&lt;&gt;"",K2,IF(J2&lt;&gt;"",J2,IF(L2&lt;&gt;"",L2,IF(N2&lt;&gt;"",N2,IF(P2&lt;&gt;"",P2,IF(M2&lt;&gt;"",M2,IF(Q2&lt;&gt;"",Q2,IF(O2&lt;&gt;"",O2,IF(S2&lt;&gt;"",S2,IF(R2&lt;&gt;"",R2,""))))))))))=J2,"",IF(K2&lt;&gt;"",K2,IF(J2&lt;&gt;"",J2,IF(L2&lt;&gt;"",L2,IF(N2&lt;&gt;"",N2,IF(P2&lt;&gt;"",P2,IF(M2&lt;&gt;"",M2,IF(Q2&lt;&gt;"",Q2,IF(O2&lt;&gt;"",O2,IF(S2&lt;&gt;"",S2,IF(R2&lt;&gt;"",R2,""))))))))))))</f>
        <v/>
      </c>
      <c r="J2" t="s">
        <v>411</v>
      </c>
      <c r="K2" t="s">
        <v>117</v>
      </c>
      <c r="L2" t="s">
        <v>117</v>
      </c>
      <c r="M2" t="s">
        <v>117</v>
      </c>
      <c r="N2" t="s">
        <v>117</v>
      </c>
      <c r="O2" t="s">
        <v>117</v>
      </c>
      <c r="P2" t="s">
        <v>411</v>
      </c>
      <c r="Q2" t="s">
        <v>117</v>
      </c>
      <c r="R2" t="s">
        <v>117</v>
      </c>
      <c r="S2" t="s">
        <v>117</v>
      </c>
      <c r="T2" s="22" t="str">
        <f t="shared" ref="T2:T33" si="2">IF(COUNTIF(V2:AD2,"&lt;&gt;"&amp;"")=0,"",IF(IF(X2&lt;&gt;"",X2,IF(V2&lt;&gt;"",V2,IF(W2&lt;&gt;"",W2,IF(Y2&lt;&gt;"",Y2,IF(AA2&lt;&gt;"",AA2,IF(U2&lt;&gt;"",U2,IF(AB2&lt;&gt;"",AB2,IF(Z2&lt;&gt;"",Z2,IF(AD2&lt;&gt;"",AD2,IF(AC2&lt;&gt;"",AC2,""))))))))))=U2,"",IF(X2&lt;&gt;"",X2,IF(V2&lt;&gt;"",V2,IF(W2&lt;&gt;"",W2,IF(Y2&lt;&gt;"",Y2,IF(AA2&lt;&gt;"",AA2,IF(U2&lt;&gt;"",U2,IF(AB2&lt;&gt;"",AB2,IF(Z2&lt;&gt;"",Z2,IF(AD2&lt;&gt;"",AD2,IF(AC2&lt;&gt;"",AC2,""))))))))))))</f>
        <v/>
      </c>
      <c r="U2" t="s">
        <v>412</v>
      </c>
      <c r="V2" t="s">
        <v>117</v>
      </c>
      <c r="X2" t="s">
        <v>117</v>
      </c>
      <c r="Y2" t="s">
        <v>117</v>
      </c>
      <c r="AA2" t="s">
        <v>412</v>
      </c>
      <c r="AB2" t="s">
        <v>117</v>
      </c>
      <c r="AC2" t="s">
        <v>117</v>
      </c>
      <c r="AE2" s="23" t="str">
        <f t="shared" ref="AE2:AE33" si="3">IF(COUNTIF(AG2:AO2,"&lt;&gt;"&amp;"")=0,"",IF(IF(AI2&lt;&gt;"",AI2,IF(AG2&lt;&gt;"",AG2,IF(AH2&lt;&gt;"",AH2,IF(AJ2&lt;&gt;"",AJ2,IF(AM2&lt;&gt;"",AM2,IF(AN2&lt;&gt;"",AN2,IF(AF2&lt;&gt;"",AF2,IF(AL2&lt;&gt;"",AL2,IF(AK2&lt;&gt;"",AK2,IF(AO2&lt;&gt;"",AO2,""))))))))))=AF2,"",IF(AI2&lt;&gt;"",AI2,IF(AG2&lt;&gt;"",AG2,IF(AH2&lt;&gt;"",AH2,IF(AJ2&lt;&gt;"",AJ2,IF(AM2&lt;&gt;"",AM2,IF(AN2&lt;&gt;"",AN2,IF(AF2&lt;&gt;"",AF2,IF(AL2&lt;&gt;"",AL2,IF(AK2&lt;&gt;"",AK2,IF(AO2&lt;&gt;"",AO2,""))))))))))))</f>
        <v/>
      </c>
      <c r="AF2" s="24">
        <v>46184</v>
      </c>
      <c r="AG2" s="24"/>
      <c r="AH2" s="24"/>
      <c r="AI2" s="24"/>
      <c r="AJ2" s="24"/>
      <c r="AK2" s="24"/>
      <c r="AL2" s="24">
        <v>46184</v>
      </c>
      <c r="AM2" s="24"/>
      <c r="AN2" s="24"/>
      <c r="AO2" s="24"/>
      <c r="AP2" s="23" t="str">
        <f t="shared" ref="AP2:AP33" si="4">IF(COUNTIF(AR2:AZ2,"&lt;&gt;"&amp;"")=0,"",IF(IF(AT2&lt;&gt;"",AT2,IF(AR2&lt;&gt;"",AR2,IF(AS2&lt;&gt;"",AS2,IF(AU2&lt;&gt;"",AU2,IF(AW2&lt;&gt;"",AW2,IF(AZ2&lt;&gt;"",AZ2,IF(AX2&lt;&gt;"",AX2,IF(AV2&lt;&gt;"",AV2,IF(AQ2&lt;&gt;"",AQ2,IF(AY2&lt;&gt;"",AY2,""))))))))))=AQ2,"",IF(AT2&lt;&gt;"",AT2,IF(AR2&lt;&gt;"",AR2,IF(AS2&lt;&gt;"",AS2,IF(AU2&lt;&gt;"",AU2,IF(AW2&lt;&gt;"",AW2,IF(AZ2&lt;&gt;"",AZ2,IF(AX2&lt;&gt;"",AX2,IF(AV2&lt;&gt;"",AV2,IF(AQ2&lt;&gt;"",AQ2,IF(AY2&lt;&gt;"",AY2,""))))))))))))</f>
        <v/>
      </c>
      <c r="AQ2" s="24">
        <v>46213</v>
      </c>
      <c r="AR2" s="24"/>
      <c r="AS2" s="24"/>
      <c r="AT2" s="24"/>
      <c r="AU2" s="24"/>
      <c r="AV2" s="24"/>
      <c r="AW2" s="24">
        <v>46213</v>
      </c>
      <c r="AX2" s="24"/>
      <c r="AY2" s="24"/>
      <c r="AZ2" s="24"/>
      <c r="BA2" s="23" t="str">
        <f t="shared" ref="BA2:BA33" si="5">IF(COUNTIF(BC2:BK2,"&lt;&gt;"&amp;"")=0,"",IF(IF(BE2&lt;&gt;"",BE2,IF(BC2&lt;&gt;"",BC2,IF(BD2&lt;&gt;"",BD2,IF(BF2&lt;&gt;"",BF2,IF(BH2&lt;&gt;"",BH2,IF(BB2&lt;&gt;"",BB2,IF(BI2&lt;&gt;"",BI2,IF(BG2&lt;&gt;"",BG2,IF(BK2&lt;&gt;"",BK2,IF(BJ2&lt;&gt;"",BJ2,""))))))))))=BB2,"",IF(BE2&lt;&gt;"",BE2,IF(BC2&lt;&gt;"",BC2,IF(BD2&lt;&gt;"",BD2,IF(BF2&lt;&gt;"",BF2,IF(BH2&lt;&gt;"",BH2,IF(BB2&lt;&gt;"",BB2,IF(BI2&lt;&gt;"",BI2,IF(BG2&lt;&gt;"",BG2,IF(BK2&lt;&gt;"",BK2,IF(BJ2&lt;&gt;"",BJ2,""))))))))))))</f>
        <v/>
      </c>
      <c r="BB2" s="24">
        <v>46213</v>
      </c>
      <c r="BC2" s="24"/>
      <c r="BD2" s="24"/>
      <c r="BE2" s="24"/>
      <c r="BF2" s="24"/>
      <c r="BG2" s="24"/>
      <c r="BH2" s="24">
        <v>46213</v>
      </c>
      <c r="BI2" s="24"/>
      <c r="BJ2" s="24"/>
      <c r="BK2" s="24"/>
      <c r="BL2" s="23" t="str">
        <f t="shared" ref="BL2:BL33" si="6">IF(COUNTIF(BN2:BV2,"&lt;&gt;"&amp;"")=0,"",IF(IF(BP2&lt;&gt;"",BP2,IF(BN2&lt;&gt;"",BN2,IF(BO2&lt;&gt;"",BO2,IF(BQ2&lt;&gt;"",BQ2,IF(BT2&lt;&gt;"",BT2,IF(BU2&lt;&gt;"",BU2,IF(BM2&lt;&gt;"",BM2,IF(BS2&lt;&gt;"",BS2,IF(BR2&lt;&gt;"",BR2,IF(BV2&lt;&gt;"",BV2,""))))))))))=BM2,"",IF(BP2&lt;&gt;"",BP2,IF(BN2&lt;&gt;"",BN2,IF(BO2&lt;&gt;"",BO2,IF(BQ2&lt;&gt;"",BQ2,IF(BT2&lt;&gt;"",BT2,IF(BU2&lt;&gt;"",BU2,IF(BM2&lt;&gt;"",BM2,IF(BS2&lt;&gt;"",BS2,IF(BR2&lt;&gt;"",BR2,IF(BV2&lt;&gt;"",BV2,""))))))))))))</f>
        <v/>
      </c>
      <c r="BM2" s="24">
        <v>46224</v>
      </c>
      <c r="BN2" s="24"/>
      <c r="BO2" s="24"/>
      <c r="BP2" s="24"/>
      <c r="BQ2" s="24"/>
      <c r="BR2" s="24"/>
      <c r="BS2" s="24">
        <v>46224</v>
      </c>
      <c r="BT2" s="24"/>
      <c r="BU2" s="24"/>
      <c r="BV2" s="24"/>
      <c r="BW2" s="23" t="str">
        <f t="shared" ref="BW2:BW33" si="7">IF(COUNTIF(BY2:CG2,"&lt;&gt;"&amp;"")=0,"",IF(IF(CA2&lt;&gt;"",CA2,IF(BY2&lt;&gt;"",BY2,IF(BZ2&lt;&gt;"",BZ2,IF(CB2&lt;&gt;"",CB2,IF(CE2&lt;&gt;"",CE2,IF(CF2&lt;&gt;"",CF2,IF(BX2&lt;&gt;"",BX2,IF(CD2&lt;&gt;"",CD2,IF(CC2&lt;&gt;"",CC2,IF(CG2&lt;&gt;"",CG2,""))))))))))=BX2,"",IF(CA2&lt;&gt;"",CA2,IF(BY2&lt;&gt;"",BY2,IF(BZ2&lt;&gt;"",BZ2,IF(CB2&lt;&gt;"",CB2,IF(CE2&lt;&gt;"",CE2,IF(CF2&lt;&gt;"",CF2,IF(BX2&lt;&gt;"",BX2,IF(CD2&lt;&gt;"",CD2,IF(CC2&lt;&gt;"",CC2,IF(CG2&lt;&gt;"",CG2,""))))))))))))</f>
        <v/>
      </c>
      <c r="BX2" s="24"/>
      <c r="BY2" s="24"/>
      <c r="BZ2" s="24"/>
      <c r="CA2" s="24"/>
      <c r="CB2" s="24"/>
      <c r="CC2" s="24"/>
      <c r="CD2" s="24"/>
      <c r="CE2" s="24"/>
      <c r="CF2" s="24"/>
      <c r="CG2" s="24"/>
      <c r="CH2" s="23" t="str">
        <f t="shared" ref="CH2:CH33" si="8">IF(COUNTIF(CJ2:CR2,"&lt;&gt;"&amp;"")=0,"",IF(IF(CL2&lt;&gt;"",CL2,IF(CJ2&lt;&gt;"",CJ2,IF(CK2&lt;&gt;"",CK2,IF(CM2&lt;&gt;"",CM2,IF(CP2&lt;&gt;"",CP2,IF(CQ2&lt;&gt;"",CQ2,IF(CI2&lt;&gt;"",CI2,IF(CO2&lt;&gt;"",CO2,IF(CN2&lt;&gt;"",CN2,IF(CR2&lt;&gt;"",CR2,""))))))))))=CI2,"",IF(CL2&lt;&gt;"",CL2,IF(CJ2&lt;&gt;"",CJ2,IF(CK2&lt;&gt;"",CK2,IF(CM2&lt;&gt;"",CM2,IF(CP2&lt;&gt;"",CP2,IF(CQ2&lt;&gt;"",CQ2,IF(CI2&lt;&gt;"",CI2,IF(CO2&lt;&gt;"",CO2,IF(CN2&lt;&gt;"",CN2,IF(CR2&lt;&gt;"",CR2,""))))))))))))</f>
        <v/>
      </c>
      <c r="CI2" s="24">
        <v>46226</v>
      </c>
      <c r="CJ2" s="24"/>
      <c r="CK2" s="24"/>
      <c r="CL2" s="24"/>
      <c r="CM2" s="24"/>
      <c r="CN2" s="24"/>
      <c r="CO2" s="24">
        <v>46226</v>
      </c>
      <c r="CP2" s="24"/>
      <c r="CQ2" s="24"/>
      <c r="CR2" s="24"/>
      <c r="CS2" s="23">
        <f t="shared" ref="CS2:CS33" si="9">IF(DD2&lt;&gt;"",DD2,IF(AND(IF(BA2="",BB2,BA2)&lt;&gt;"",IF(IF(CW2&lt;&gt;"",CW2,IF(CU2&lt;&gt;"",CU2,IF(CV2&lt;&gt;"",CV2,IF(CX2&lt;&gt;"",CX2,IF(CZ2&lt;&gt;"",CZ2,IF(CT2&lt;&gt;"",CT2,IF(DA2&lt;&gt;"",DA2,IF(CY2&lt;&gt;"",CY2,IF(DC2&lt;&gt;"",DC2,IF(DB2&lt;&gt;"",DB2,""))))))))))&lt;DATEVALUE("2026-07-29"),DATEVALUE("2026-07-29")+10,IF(CW2&lt;&gt;"",CW2,IF(CU2&lt;&gt;"",CU2,IF(CV2&lt;&gt;"",CV2,IF(CX2&lt;&gt;"",CX2,IF(CZ2&lt;&gt;"",CZ2,IF(CT2&lt;&gt;"",CT2,IF(DA2&lt;&gt;"",DA2,IF(CY2&lt;&gt;"",CY2,IF(DC2&lt;&gt;"",DC2,IF(DB2&lt;&gt;"",DB2,"")))))))))))&lt;IF(BA2="",BB2,BA2)),10+IF(BA2="",BB2,BA2),IF(AND(IF(BA2="",BB2,BA2)="",IF(AP2="",AQ2,AP2)&lt;&gt;"",IF(IF(CW2&lt;&gt;"",CW2,IF(CU2&lt;&gt;"",CU2,IF(CV2&lt;&gt;"",CV2,IF(CX2&lt;&gt;"",CX2,IF(CZ2&lt;&gt;"",CZ2,IF(CT2&lt;&gt;"",CT2,IF(DA2&lt;&gt;"",DA2,IF(CY2&lt;&gt;"",CY2,IF(DC2&lt;&gt;"",DC2,IF(DB2&lt;&gt;"",DB2,""))))))))))&lt;DATEVALUE("2026-07-29"),DATEVALUE("2026-07-29")+10,IF(CW2&lt;&gt;"",CW2,IF(CU2&lt;&gt;"",CU2,IF(CV2&lt;&gt;"",CV2,IF(CX2&lt;&gt;"",CX2,IF(CZ2&lt;&gt;"",CZ2,IF(CT2&lt;&gt;"",CT2,IF(DA2&lt;&gt;"",DA2,IF(CY2&lt;&gt;"",CY2,IF(DC2&lt;&gt;"",DC2,IF(DB2&lt;&gt;"",DB2,"")))))))))))&lt;IF(AP2="",AQ2,AP2)),10+IF(AP2="",AQ2,AP2),IF(IF(CW2&lt;&gt;"",CW2,IF(CU2&lt;&gt;"",CU2,IF(CV2&lt;&gt;"",CV2,IF(CX2&lt;&gt;"",CX2,IF(CZ2&lt;&gt;"",CZ2,IF(CT2&lt;&gt;"",CT2,IF(DA2&lt;&gt;"",DA2,IF(CY2&lt;&gt;"",CY2,IF(DC2&lt;&gt;"",DC2,IF(DB2&lt;&gt;"",DB2,""))))))))))&lt;DATEVALUE("2026-07-29"),DATEVALUE("2026-07-29")+10,IF(CW2&lt;&gt;"",CW2,IF(CU2&lt;&gt;"",CU2,IF(CV2&lt;&gt;"",CV2,IF(CX2&lt;&gt;"",CX2,IF(CZ2&lt;&gt;"",CZ2,IF(CT2&lt;&gt;"",CT2,IF(DA2&lt;&gt;"",DA2,IF(CY2&lt;&gt;"",CY2,IF(DC2&lt;&gt;"",DC2,IF(DB2&lt;&gt;"",DB2,""))))))))))))))</f>
        <v>46240</v>
      </c>
      <c r="CT2" s="24">
        <v>46240</v>
      </c>
      <c r="CU2" s="24"/>
      <c r="CV2" s="24"/>
      <c r="CW2" s="24"/>
      <c r="CX2" s="24"/>
      <c r="CY2" s="24"/>
      <c r="CZ2" s="24"/>
      <c r="DA2" s="24"/>
      <c r="DB2" s="24"/>
      <c r="DC2" s="24"/>
      <c r="DD2" s="23" t="str">
        <f t="shared" ref="DD2:DD33" si="10">IF(DH2&lt;&gt;"",DH2,IF(DF2&lt;&gt;"",DF2,IF(DG2&lt;&gt;"",DG2,IF(DI2&lt;&gt;"",DI2,IF(DL2&lt;&gt;"",DL2,IF(DM2&lt;&gt;"",DM2,IF(DE2&lt;&gt;"",DE2,IF(DK2&lt;&gt;"",DK2,IF(DJ2&lt;&gt;"",DJ2,IF(DN2&lt;&gt;"",DN2,""))))))))))</f>
        <v/>
      </c>
      <c r="DE2" s="24"/>
      <c r="DF2" s="24"/>
      <c r="DG2" s="24"/>
      <c r="DH2" s="24"/>
      <c r="DI2" s="24"/>
      <c r="DJ2" s="24"/>
      <c r="DK2" s="24"/>
      <c r="DL2" s="24"/>
      <c r="DM2" s="24"/>
      <c r="DN2" s="24"/>
      <c r="DO2" s="22" t="str">
        <f t="shared" ref="DO2:DO33" si="11">IF(COUNTIF(DQ2:DY2,"&lt;&gt;"&amp;"")=0,"",IF(IF(DU2&lt;&gt;"",DU2,IF(DP2&lt;&gt;"",DP2,IF(DQ2&lt;&gt;"",DQ2,IF(DS2&lt;&gt;"",DS2,IF(DT2&lt;&gt;"",DT2,IF(DV2&lt;&gt;"",DV2,IF(DR2&lt;&gt;"",DR2,IF(DW2&lt;&gt;"",DW2,IF(DY2&lt;&gt;"",DY2,IF(DX2&lt;&gt;"",DX2,""))))))))))=DP2,"",IF(DU2&lt;&gt;"",DU2,IF(DP2&lt;&gt;"",DP2,IF(DQ2&lt;&gt;"",DQ2,IF(DS2&lt;&gt;"",DS2,IF(DT2&lt;&gt;"",DT2,IF(DV2&lt;&gt;"",DV2,IF(DR2&lt;&gt;"",DR2,IF(DW2&lt;&gt;"",DW2,IF(DY2&lt;&gt;"",DY2,IF(DX2&lt;&gt;"",DX2,""))))))))))))</f>
        <v/>
      </c>
      <c r="DR2" t="s">
        <v>117</v>
      </c>
      <c r="DZ2" s="23" t="str">
        <f t="shared" ref="DZ2:DZ33" si="12">IF(COUNTIF(EB2:EJ2,"&lt;&gt;"&amp;"")=0,"",IF(IF(ED2&lt;&gt;"",ED2,IF(EB2&lt;&gt;"",EB2,IF(EC2&lt;&gt;"",EC2,IF(EE2&lt;&gt;"",EE2,IF(EG2&lt;&gt;"",EG2,IF(EA2&lt;&gt;"",EA2,IF(EH2&lt;&gt;"",EH2,IF(EF2&lt;&gt;"",EF2,IF(EJ2&lt;&gt;"",EJ2,IF(EI2&lt;&gt;"",EI2,""))))))))))=EA2,"",IF(ED2&lt;&gt;"",ED2,IF(EB2&lt;&gt;"",EB2,IF(EC2&lt;&gt;"",EC2,IF(EE2&lt;&gt;"",EE2,IF(EG2&lt;&gt;"",EG2,IF(EA2&lt;&gt;"",EA2,IF(EH2&lt;&gt;"",EH2,IF(EF2&lt;&gt;"",EF2,IF(EJ2&lt;&gt;"",EJ2,IF(EI2&lt;&gt;"",EI2,""))))))))))))</f>
        <v/>
      </c>
      <c r="EA2" s="24"/>
      <c r="EB2" s="24"/>
      <c r="EC2" s="24"/>
      <c r="ED2" s="24"/>
      <c r="EE2" s="24"/>
      <c r="EF2" s="24"/>
      <c r="EG2" s="24"/>
      <c r="EH2" s="24"/>
      <c r="EI2" s="24"/>
      <c r="EJ2" s="24"/>
      <c r="EK2" s="23" t="str">
        <f t="shared" ref="EK2:EK33" si="13">IF(COUNTIF(EM2:EU2,"&lt;&gt;"&amp;"")=0,"",IF(IF(EO2&lt;&gt;"",EO2,IF(EM2&lt;&gt;"",EM2,IF(EN2&lt;&gt;"",EN2,IF(EP2&lt;&gt;"",EP2,IF(ES2&lt;&gt;"",ES2,IF(ET2&lt;&gt;"",ET2,IF(EL2&lt;&gt;"",EL2,IF(ER2&lt;&gt;"",ER2,IF(EQ2&lt;&gt;"",EQ2,IF(EU2&lt;&gt;"",EU2,""))))))))))=EL2,"",IF(EO2&lt;&gt;"",EO2,IF(EM2&lt;&gt;"",EM2,IF(EN2&lt;&gt;"",EN2,IF(EP2&lt;&gt;"",EP2,IF(ES2&lt;&gt;"",ES2,IF(ET2&lt;&gt;"",ET2,IF(EL2&lt;&gt;"",EL2,IF(ER2&lt;&gt;"",ER2,IF(EQ2&lt;&gt;"",EQ2,IF(EU2&lt;&gt;"",EU2,""))))))))))))</f>
        <v/>
      </c>
      <c r="EL2" s="24"/>
      <c r="EM2" s="24"/>
      <c r="EN2" s="24"/>
      <c r="EO2" s="24"/>
      <c r="EP2" s="24"/>
      <c r="EQ2" s="24"/>
      <c r="ER2" s="24"/>
      <c r="ES2" s="24"/>
      <c r="ET2" s="24"/>
      <c r="EU2" s="24"/>
      <c r="EV2" s="23" t="str">
        <f t="shared" ref="EV2:EV33" si="14">IF(COUNTIF(EX2:FF2,"&lt;&gt;"&amp;"")=0,"",IF(IF(EZ2&lt;&gt;"",EZ2,IF(EX2&lt;&gt;"",EX2,IF(EY2&lt;&gt;"",EY2,IF(FA2&lt;&gt;"",FA2,IF(FD2&lt;&gt;"",FD2,IF(FE2&lt;&gt;"",FE2,IF(EW2&lt;&gt;"",EW2,IF(FC2&lt;&gt;"",FC2,IF(FB2&lt;&gt;"",FB2,IF(FF2&lt;&gt;"",FF2,""))))))))))=EW2,"",IF(EZ2&lt;&gt;"",EZ2,IF(EX2&lt;&gt;"",EX2,IF(EY2&lt;&gt;"",EY2,IF(FA2&lt;&gt;"",FA2,IF(FD2&lt;&gt;"",FD2,IF(FE2&lt;&gt;"",FE2,IF(EW2&lt;&gt;"",EW2,IF(FC2&lt;&gt;"",FC2,IF(FB2&lt;&gt;"",FB2,IF(FF2&lt;&gt;"",FF2,""))))))))))))</f>
        <v/>
      </c>
      <c r="EW2" s="24"/>
      <c r="EX2" s="24"/>
      <c r="EY2" s="24"/>
      <c r="EZ2" s="24"/>
      <c r="FA2" s="24"/>
      <c r="FB2" s="24"/>
      <c r="FC2" s="24"/>
      <c r="FD2" s="24"/>
      <c r="FE2" s="24"/>
      <c r="FF2" s="24"/>
      <c r="FG2" s="23" t="str">
        <f t="shared" ref="FG2:FG33" si="15">IF(COUNTIF(FI2:FQ2,"&lt;&gt;"&amp;"")=0,"",IF(IF(FK2&lt;&gt;"",FK2,IF(FI2&lt;&gt;"",FI2,IF(FJ2&lt;&gt;"",FJ2,IF(FL2&lt;&gt;"",FL2,IF(FO2&lt;&gt;"",FO2,IF(FP2&lt;&gt;"",FP2,IF(FH2&lt;&gt;"",FH2,IF(FN2&lt;&gt;"",FN2,IF(FM2&lt;&gt;"",FM2,IF(FQ2&lt;&gt;"",FQ2,""))))))))))=FH2,"",IF(FK2&lt;&gt;"",FK2,IF(FI2&lt;&gt;"",FI2,IF(FJ2&lt;&gt;"",FJ2,IF(FL2&lt;&gt;"",FL2,IF(FO2&lt;&gt;"",FO2,IF(FP2&lt;&gt;"",FP2,IF(FH2&lt;&gt;"",FH2,IF(FN2&lt;&gt;"",FN2,IF(FM2&lt;&gt;"",FM2,IF(FQ2&lt;&gt;"",FQ2,""))))))))))))</f>
        <v/>
      </c>
      <c r="FH2" s="24"/>
      <c r="FI2" s="24"/>
      <c r="FJ2" s="24"/>
      <c r="FK2" s="24"/>
      <c r="FL2" s="24"/>
      <c r="FM2" s="24"/>
      <c r="FN2" s="24"/>
      <c r="FO2" s="24"/>
      <c r="FP2" s="24"/>
      <c r="FQ2" s="24"/>
    </row>
    <row r="3" spans="1:173" x14ac:dyDescent="0.25">
      <c r="A3">
        <v>4036</v>
      </c>
      <c r="B3" t="str">
        <f t="shared" si="0"/>
        <v>CSNU7375307|SULPSOL000329CVG</v>
      </c>
      <c r="C3" s="24">
        <v>46168.301319444443</v>
      </c>
      <c r="E3" t="s">
        <v>413</v>
      </c>
      <c r="F3" t="s">
        <v>414</v>
      </c>
      <c r="G3" t="s">
        <v>415</v>
      </c>
      <c r="H3" t="s">
        <v>416</v>
      </c>
      <c r="I3" s="22" t="str">
        <f t="shared" si="1"/>
        <v/>
      </c>
      <c r="J3" t="s">
        <v>417</v>
      </c>
      <c r="K3" t="s">
        <v>417</v>
      </c>
      <c r="L3" t="s">
        <v>117</v>
      </c>
      <c r="M3" t="s">
        <v>117</v>
      </c>
      <c r="N3" t="s">
        <v>417</v>
      </c>
      <c r="O3" t="s">
        <v>117</v>
      </c>
      <c r="P3" t="s">
        <v>117</v>
      </c>
      <c r="Q3" t="s">
        <v>417</v>
      </c>
      <c r="R3" t="s">
        <v>117</v>
      </c>
      <c r="S3" t="s">
        <v>117</v>
      </c>
      <c r="T3" s="22" t="str">
        <f t="shared" si="2"/>
        <v/>
      </c>
      <c r="U3" t="s">
        <v>418</v>
      </c>
      <c r="V3" t="s">
        <v>418</v>
      </c>
      <c r="X3" t="s">
        <v>117</v>
      </c>
      <c r="AA3" t="s">
        <v>117</v>
      </c>
      <c r="AB3" t="s">
        <v>418</v>
      </c>
      <c r="AC3" t="s">
        <v>117</v>
      </c>
      <c r="AE3" s="23" t="str">
        <f t="shared" si="3"/>
        <v/>
      </c>
      <c r="AF3" s="24">
        <v>46181</v>
      </c>
      <c r="AG3" s="24">
        <v>46181</v>
      </c>
      <c r="AH3" s="24"/>
      <c r="AI3" s="24"/>
      <c r="AJ3" s="24"/>
      <c r="AK3" s="24"/>
      <c r="AL3" s="24"/>
      <c r="AM3" s="24">
        <v>46181</v>
      </c>
      <c r="AN3" s="24"/>
      <c r="AO3" s="24"/>
      <c r="AP3" s="23" t="str">
        <f t="shared" si="4"/>
        <v/>
      </c>
      <c r="AQ3" s="24">
        <v>46218</v>
      </c>
      <c r="AR3" s="24">
        <v>46218</v>
      </c>
      <c r="AS3" s="24"/>
      <c r="AT3" s="24"/>
      <c r="AU3" s="24">
        <v>46221.5</v>
      </c>
      <c r="AV3" s="24"/>
      <c r="AW3" s="24"/>
      <c r="AX3" s="24">
        <v>46219</v>
      </c>
      <c r="AY3" s="24"/>
      <c r="AZ3" s="24"/>
      <c r="BA3" s="23" t="str">
        <f t="shared" si="5"/>
        <v/>
      </c>
      <c r="BB3" s="24">
        <v>46219</v>
      </c>
      <c r="BC3" s="24"/>
      <c r="BD3" s="24"/>
      <c r="BE3" s="24"/>
      <c r="BF3" s="24"/>
      <c r="BG3" s="24"/>
      <c r="BH3" s="24"/>
      <c r="BI3" s="24">
        <v>46219</v>
      </c>
      <c r="BJ3" s="24"/>
      <c r="BK3" s="24"/>
      <c r="BL3" s="23" t="str">
        <f t="shared" si="6"/>
        <v/>
      </c>
      <c r="BM3" s="24">
        <v>46221</v>
      </c>
      <c r="BN3" s="24">
        <v>46221</v>
      </c>
      <c r="BO3" s="24"/>
      <c r="BP3" s="24"/>
      <c r="BQ3" s="24"/>
      <c r="BR3" s="24"/>
      <c r="BS3" s="24"/>
      <c r="BT3" s="24"/>
      <c r="BU3" s="24"/>
      <c r="BV3" s="24"/>
      <c r="BW3" s="23" t="str">
        <f t="shared" si="7"/>
        <v/>
      </c>
      <c r="BX3" s="24">
        <v>46231</v>
      </c>
      <c r="BY3" s="24"/>
      <c r="BZ3" s="24"/>
      <c r="CA3" s="24"/>
      <c r="CB3" s="24"/>
      <c r="CC3" s="24"/>
      <c r="CD3" s="24"/>
      <c r="CE3" s="24">
        <v>46231</v>
      </c>
      <c r="CF3" s="24"/>
      <c r="CG3" s="24"/>
      <c r="CH3" s="23">
        <f t="shared" si="8"/>
        <v>46231</v>
      </c>
      <c r="CI3" s="24"/>
      <c r="CJ3" s="24"/>
      <c r="CK3" s="24"/>
      <c r="CL3" s="24"/>
      <c r="CM3" s="24"/>
      <c r="CN3" s="24"/>
      <c r="CO3" s="24"/>
      <c r="CP3" s="24">
        <v>46231</v>
      </c>
      <c r="CQ3" s="24"/>
      <c r="CR3" s="24"/>
      <c r="CS3" s="23">
        <f t="shared" si="9"/>
        <v>46231</v>
      </c>
      <c r="CT3" s="24">
        <v>46231</v>
      </c>
      <c r="CU3" s="24">
        <v>46226</v>
      </c>
      <c r="CV3" s="24"/>
      <c r="CW3" s="24"/>
      <c r="CX3" s="24"/>
      <c r="CY3" s="24"/>
      <c r="CZ3" s="24"/>
      <c r="DA3" s="24"/>
      <c r="DB3" s="24"/>
      <c r="DC3" s="24"/>
      <c r="DD3" s="23">
        <f t="shared" si="10"/>
        <v>46231</v>
      </c>
      <c r="DE3" s="24">
        <v>46231</v>
      </c>
      <c r="DF3" s="24"/>
      <c r="DG3" s="24"/>
      <c r="DH3" s="24"/>
      <c r="DI3" s="24"/>
      <c r="DJ3" s="24"/>
      <c r="DK3" s="24"/>
      <c r="DL3" s="24">
        <v>46231</v>
      </c>
      <c r="DM3" s="24"/>
      <c r="DN3" s="24"/>
      <c r="DO3" s="22" t="str">
        <f t="shared" si="11"/>
        <v/>
      </c>
      <c r="DR3" t="s">
        <v>117</v>
      </c>
      <c r="DZ3" s="23" t="str">
        <f t="shared" si="12"/>
        <v/>
      </c>
      <c r="EA3" s="24"/>
      <c r="EB3" s="24"/>
      <c r="EC3" s="24"/>
      <c r="ED3" s="24"/>
      <c r="EE3" s="24"/>
      <c r="EF3" s="24"/>
      <c r="EG3" s="24"/>
      <c r="EH3" s="24"/>
      <c r="EI3" s="24"/>
      <c r="EJ3" s="24"/>
      <c r="EK3" s="23" t="str">
        <f t="shared" si="13"/>
        <v/>
      </c>
      <c r="EL3" s="24"/>
      <c r="EM3" s="24"/>
      <c r="EN3" s="24"/>
      <c r="EO3" s="24"/>
      <c r="EP3" s="24"/>
      <c r="EQ3" s="24"/>
      <c r="ER3" s="24"/>
      <c r="ES3" s="24"/>
      <c r="ET3" s="24"/>
      <c r="EU3" s="24"/>
      <c r="EV3" s="23" t="str">
        <f t="shared" si="14"/>
        <v/>
      </c>
      <c r="EW3" s="24"/>
      <c r="EX3" s="24"/>
      <c r="EY3" s="24"/>
      <c r="EZ3" s="24"/>
      <c r="FA3" s="24"/>
      <c r="FB3" s="24"/>
      <c r="FC3" s="24"/>
      <c r="FD3" s="24"/>
      <c r="FE3" s="24"/>
      <c r="FF3" s="24"/>
      <c r="FG3" s="23" t="str">
        <f t="shared" si="15"/>
        <v/>
      </c>
      <c r="FH3" s="24"/>
      <c r="FI3" s="24"/>
      <c r="FJ3" s="24"/>
      <c r="FK3" s="24"/>
      <c r="FL3" s="24"/>
      <c r="FM3" s="24"/>
      <c r="FN3" s="24"/>
      <c r="FO3" s="24"/>
      <c r="FP3" s="24"/>
      <c r="FQ3" s="24"/>
    </row>
    <row r="4" spans="1:173" x14ac:dyDescent="0.25">
      <c r="A4">
        <v>4077</v>
      </c>
      <c r="B4" t="str">
        <f t="shared" si="0"/>
        <v>FANU1868832|AMDCHI004764</v>
      </c>
      <c r="C4" s="24">
        <v>46185.441655092596</v>
      </c>
      <c r="E4" t="s">
        <v>420</v>
      </c>
      <c r="F4" t="s">
        <v>421</v>
      </c>
      <c r="G4" t="s">
        <v>422</v>
      </c>
      <c r="H4" t="s">
        <v>423</v>
      </c>
      <c r="I4" s="22" t="str">
        <f t="shared" si="1"/>
        <v/>
      </c>
      <c r="J4" t="s">
        <v>424</v>
      </c>
      <c r="K4" t="s">
        <v>117</v>
      </c>
      <c r="L4" t="s">
        <v>117</v>
      </c>
      <c r="M4" t="s">
        <v>117</v>
      </c>
      <c r="N4" t="s">
        <v>117</v>
      </c>
      <c r="O4" t="s">
        <v>117</v>
      </c>
      <c r="P4" t="s">
        <v>117</v>
      </c>
      <c r="Q4" t="s">
        <v>424</v>
      </c>
      <c r="R4" t="s">
        <v>117</v>
      </c>
      <c r="S4" t="s">
        <v>117</v>
      </c>
      <c r="T4" s="22" t="str">
        <f t="shared" si="2"/>
        <v/>
      </c>
      <c r="U4" t="s">
        <v>425</v>
      </c>
      <c r="V4" t="s">
        <v>117</v>
      </c>
      <c r="X4" t="s">
        <v>117</v>
      </c>
      <c r="Y4" t="s">
        <v>117</v>
      </c>
      <c r="AA4" t="s">
        <v>117</v>
      </c>
      <c r="AB4" t="s">
        <v>660</v>
      </c>
      <c r="AC4" t="s">
        <v>117</v>
      </c>
      <c r="AE4" s="23" t="str">
        <f t="shared" si="3"/>
        <v/>
      </c>
      <c r="AF4" s="24">
        <v>46188</v>
      </c>
      <c r="AG4" s="24"/>
      <c r="AH4" s="24"/>
      <c r="AI4" s="24"/>
      <c r="AJ4" s="24"/>
      <c r="AK4" s="24"/>
      <c r="AL4" s="24"/>
      <c r="AM4" s="24">
        <v>46188</v>
      </c>
      <c r="AN4" s="24"/>
      <c r="AO4" s="24"/>
      <c r="AP4" s="23" t="str">
        <f t="shared" si="4"/>
        <v/>
      </c>
      <c r="AQ4" s="24">
        <v>46221</v>
      </c>
      <c r="AR4" s="24"/>
      <c r="AS4" s="24"/>
      <c r="AT4" s="24"/>
      <c r="AU4" s="24"/>
      <c r="AV4" s="24"/>
      <c r="AW4" s="24"/>
      <c r="AX4" s="24">
        <v>46221</v>
      </c>
      <c r="AY4" s="24"/>
      <c r="AZ4" s="24"/>
      <c r="BA4" s="23" t="str">
        <f t="shared" si="5"/>
        <v/>
      </c>
      <c r="BB4" s="24">
        <v>46221</v>
      </c>
      <c r="BC4" s="24"/>
      <c r="BD4" s="24"/>
      <c r="BE4" s="24"/>
      <c r="BF4" s="24"/>
      <c r="BG4" s="24"/>
      <c r="BH4" s="24"/>
      <c r="BI4" s="24">
        <v>46221</v>
      </c>
      <c r="BJ4" s="24"/>
      <c r="BK4" s="24"/>
      <c r="BL4" s="23" t="str">
        <f t="shared" si="6"/>
        <v/>
      </c>
      <c r="BM4" s="24">
        <v>46227</v>
      </c>
      <c r="BN4" s="24"/>
      <c r="BO4" s="24"/>
      <c r="BP4" s="24"/>
      <c r="BQ4" s="24"/>
      <c r="BR4" s="24"/>
      <c r="BS4" s="24"/>
      <c r="BT4" s="24"/>
      <c r="BU4" s="24"/>
      <c r="BV4" s="24"/>
      <c r="BW4" s="23" t="str">
        <f t="shared" si="7"/>
        <v/>
      </c>
      <c r="BX4" s="24">
        <v>46227</v>
      </c>
      <c r="BY4" s="24"/>
      <c r="BZ4" s="24"/>
      <c r="CA4" s="24"/>
      <c r="CB4" s="24"/>
      <c r="CC4" s="24"/>
      <c r="CD4" s="24"/>
      <c r="CE4" s="24">
        <v>46227</v>
      </c>
      <c r="CF4" s="24"/>
      <c r="CG4" s="24"/>
      <c r="CH4" s="23" t="str">
        <f t="shared" si="8"/>
        <v/>
      </c>
      <c r="CI4" s="24"/>
      <c r="CJ4" s="24"/>
      <c r="CK4" s="24"/>
      <c r="CL4" s="24"/>
      <c r="CM4" s="24"/>
      <c r="CN4" s="24"/>
      <c r="CO4" s="24"/>
      <c r="CP4" s="24"/>
      <c r="CQ4" s="24"/>
      <c r="CR4" s="24"/>
      <c r="CS4" s="23">
        <f t="shared" si="9"/>
        <v>46232</v>
      </c>
      <c r="CT4" s="24">
        <v>46230</v>
      </c>
      <c r="CU4" s="24"/>
      <c r="CV4" s="24"/>
      <c r="CW4" s="24"/>
      <c r="CX4" s="24"/>
      <c r="CY4" s="24"/>
      <c r="CZ4" s="24"/>
      <c r="DA4" s="24"/>
      <c r="DB4" s="24"/>
      <c r="DC4" s="24"/>
      <c r="DD4" s="23">
        <f t="shared" si="10"/>
        <v>46232</v>
      </c>
      <c r="DE4" s="24">
        <v>46230</v>
      </c>
      <c r="DF4" s="24"/>
      <c r="DG4" s="24"/>
      <c r="DH4" s="24"/>
      <c r="DI4" s="24"/>
      <c r="DJ4" s="24"/>
      <c r="DK4" s="24"/>
      <c r="DL4" s="24">
        <v>46232</v>
      </c>
      <c r="DM4" s="24"/>
      <c r="DN4" s="24"/>
      <c r="DO4" s="22" t="str">
        <f t="shared" si="11"/>
        <v/>
      </c>
      <c r="DR4" t="s">
        <v>117</v>
      </c>
      <c r="DZ4" s="23" t="str">
        <f t="shared" si="12"/>
        <v/>
      </c>
      <c r="EA4" s="24"/>
      <c r="EB4" s="24"/>
      <c r="EC4" s="24"/>
      <c r="ED4" s="24"/>
      <c r="EE4" s="24"/>
      <c r="EF4" s="24"/>
      <c r="EG4" s="24"/>
      <c r="EH4" s="24"/>
      <c r="EI4" s="24"/>
      <c r="EJ4" s="24"/>
      <c r="EK4" s="23" t="str">
        <f t="shared" si="13"/>
        <v/>
      </c>
      <c r="EL4" s="24"/>
      <c r="EM4" s="24"/>
      <c r="EN4" s="24"/>
      <c r="EO4" s="24"/>
      <c r="EP4" s="24"/>
      <c r="EQ4" s="24"/>
      <c r="ER4" s="24"/>
      <c r="ES4" s="24"/>
      <c r="ET4" s="24"/>
      <c r="EU4" s="24"/>
      <c r="EV4" s="23" t="str">
        <f t="shared" si="14"/>
        <v/>
      </c>
      <c r="EW4" s="24"/>
      <c r="EX4" s="24"/>
      <c r="EY4" s="24"/>
      <c r="EZ4" s="24"/>
      <c r="FA4" s="24"/>
      <c r="FB4" s="24"/>
      <c r="FC4" s="24"/>
      <c r="FD4" s="24"/>
      <c r="FE4" s="24"/>
      <c r="FF4" s="24"/>
      <c r="FG4" s="23" t="str">
        <f t="shared" si="15"/>
        <v/>
      </c>
      <c r="FH4" s="24"/>
      <c r="FI4" s="24"/>
      <c r="FJ4" s="24"/>
      <c r="FK4" s="24"/>
      <c r="FL4" s="24"/>
      <c r="FM4" s="24"/>
      <c r="FN4" s="24"/>
      <c r="FO4" s="24"/>
      <c r="FP4" s="24"/>
      <c r="FQ4" s="24"/>
    </row>
    <row r="5" spans="1:173" x14ac:dyDescent="0.25">
      <c r="A5">
        <v>4040</v>
      </c>
      <c r="B5" t="str">
        <f t="shared" si="0"/>
        <v>TRHU4238594|MUJAX2650180</v>
      </c>
      <c r="C5" s="24">
        <v>46169.375868055555</v>
      </c>
      <c r="E5" t="s">
        <v>426</v>
      </c>
      <c r="F5" t="s">
        <v>419</v>
      </c>
      <c r="G5" t="s">
        <v>427</v>
      </c>
      <c r="H5" t="s">
        <v>428</v>
      </c>
      <c r="I5" s="22" t="str">
        <f t="shared" si="1"/>
        <v/>
      </c>
      <c r="J5" t="s">
        <v>428</v>
      </c>
      <c r="K5" t="s">
        <v>117</v>
      </c>
      <c r="L5" t="s">
        <v>117</v>
      </c>
      <c r="M5" t="s">
        <v>117</v>
      </c>
      <c r="N5" t="s">
        <v>117</v>
      </c>
      <c r="O5" t="s">
        <v>117</v>
      </c>
      <c r="P5" t="s">
        <v>117</v>
      </c>
      <c r="Q5" t="s">
        <v>661</v>
      </c>
      <c r="R5" t="s">
        <v>117</v>
      </c>
      <c r="S5" t="s">
        <v>117</v>
      </c>
      <c r="T5" s="22" t="str">
        <f t="shared" si="2"/>
        <v/>
      </c>
      <c r="U5" t="s">
        <v>429</v>
      </c>
      <c r="V5" t="s">
        <v>117</v>
      </c>
      <c r="X5" t="s">
        <v>117</v>
      </c>
      <c r="Y5" t="s">
        <v>117</v>
      </c>
      <c r="AA5" t="s">
        <v>117</v>
      </c>
      <c r="AB5" t="s">
        <v>418</v>
      </c>
      <c r="AC5" t="s">
        <v>117</v>
      </c>
      <c r="AE5" s="23" t="str">
        <f t="shared" si="3"/>
        <v/>
      </c>
      <c r="AF5" s="24">
        <v>46177</v>
      </c>
      <c r="AG5" s="24"/>
      <c r="AH5" s="24"/>
      <c r="AI5" s="24"/>
      <c r="AJ5" s="24"/>
      <c r="AK5" s="24"/>
      <c r="AL5" s="24"/>
      <c r="AM5" s="24">
        <v>46177</v>
      </c>
      <c r="AN5" s="24"/>
      <c r="AO5" s="24"/>
      <c r="AP5" s="23" t="str">
        <f t="shared" si="4"/>
        <v/>
      </c>
      <c r="AQ5" s="24">
        <v>46224</v>
      </c>
      <c r="AR5" s="24"/>
      <c r="AS5" s="24"/>
      <c r="AT5" s="24"/>
      <c r="AU5" s="24"/>
      <c r="AV5" s="24"/>
      <c r="AW5" s="24"/>
      <c r="AX5" s="24">
        <v>46224</v>
      </c>
      <c r="AY5" s="24"/>
      <c r="AZ5" s="24"/>
      <c r="BA5" s="23" t="str">
        <f t="shared" si="5"/>
        <v/>
      </c>
      <c r="BB5" s="24">
        <v>46224</v>
      </c>
      <c r="BC5" s="24"/>
      <c r="BD5" s="24"/>
      <c r="BE5" s="24"/>
      <c r="BF5" s="24"/>
      <c r="BG5" s="24"/>
      <c r="BH5" s="24"/>
      <c r="BI5" s="24">
        <v>46224</v>
      </c>
      <c r="BJ5" s="24"/>
      <c r="BK5" s="24"/>
      <c r="BL5" s="23" t="str">
        <f t="shared" si="6"/>
        <v/>
      </c>
      <c r="BM5" s="24"/>
      <c r="BN5" s="24"/>
      <c r="BO5" s="24"/>
      <c r="BP5" s="24"/>
      <c r="BQ5" s="24"/>
      <c r="BR5" s="24"/>
      <c r="BS5" s="24"/>
      <c r="BT5" s="24"/>
      <c r="BU5" s="24"/>
      <c r="BV5" s="24"/>
      <c r="BW5" s="23" t="str">
        <f t="shared" si="7"/>
        <v/>
      </c>
      <c r="BX5" s="24">
        <v>46230</v>
      </c>
      <c r="BY5" s="24"/>
      <c r="BZ5" s="24"/>
      <c r="CA5" s="24"/>
      <c r="CB5" s="24"/>
      <c r="CC5" s="24"/>
      <c r="CD5" s="24"/>
      <c r="CE5" s="24">
        <v>46230</v>
      </c>
      <c r="CF5" s="24"/>
      <c r="CG5" s="24"/>
      <c r="CH5" s="23" t="str">
        <f t="shared" si="8"/>
        <v/>
      </c>
      <c r="CI5" s="24">
        <v>46230</v>
      </c>
      <c r="CJ5" s="24"/>
      <c r="CK5" s="24"/>
      <c r="CL5" s="24"/>
      <c r="CM5" s="24"/>
      <c r="CN5" s="24"/>
      <c r="CO5" s="24"/>
      <c r="CP5" s="24">
        <v>46230</v>
      </c>
      <c r="CQ5" s="24"/>
      <c r="CR5" s="24"/>
      <c r="CS5" s="23">
        <f t="shared" si="9"/>
        <v>46233</v>
      </c>
      <c r="CT5" s="24">
        <v>46233</v>
      </c>
      <c r="CU5" s="24"/>
      <c r="CV5" s="24"/>
      <c r="CW5" s="24"/>
      <c r="CX5" s="24"/>
      <c r="CY5" s="24"/>
      <c r="CZ5" s="24"/>
      <c r="DA5" s="24"/>
      <c r="DB5" s="24"/>
      <c r="DC5" s="24"/>
      <c r="DD5" s="23">
        <f t="shared" si="10"/>
        <v>46233</v>
      </c>
      <c r="DE5" s="24">
        <v>46233</v>
      </c>
      <c r="DF5" s="24"/>
      <c r="DG5" s="24"/>
      <c r="DH5" s="24"/>
      <c r="DI5" s="24"/>
      <c r="DJ5" s="24"/>
      <c r="DK5" s="24"/>
      <c r="DL5" s="24">
        <v>46233</v>
      </c>
      <c r="DM5" s="24"/>
      <c r="DN5" s="24"/>
      <c r="DO5" s="22" t="str">
        <f t="shared" si="11"/>
        <v/>
      </c>
      <c r="DR5" t="s">
        <v>117</v>
      </c>
      <c r="DZ5" s="23" t="str">
        <f t="shared" si="12"/>
        <v/>
      </c>
      <c r="EA5" s="24"/>
      <c r="EB5" s="24"/>
      <c r="EC5" s="24"/>
      <c r="ED5" s="24"/>
      <c r="EE5" s="24"/>
      <c r="EF5" s="24"/>
      <c r="EG5" s="24"/>
      <c r="EH5" s="24"/>
      <c r="EI5" s="24"/>
      <c r="EJ5" s="24"/>
      <c r="EK5" s="23" t="str">
        <f t="shared" si="13"/>
        <v/>
      </c>
      <c r="EL5" s="24"/>
      <c r="EM5" s="24"/>
      <c r="EN5" s="24"/>
      <c r="EO5" s="24"/>
      <c r="EP5" s="24"/>
      <c r="EQ5" s="24"/>
      <c r="ER5" s="24"/>
      <c r="ES5" s="24"/>
      <c r="ET5" s="24"/>
      <c r="EU5" s="24"/>
      <c r="EV5" s="23" t="str">
        <f t="shared" si="14"/>
        <v/>
      </c>
      <c r="EW5" s="24"/>
      <c r="EX5" s="24"/>
      <c r="EY5" s="24"/>
      <c r="EZ5" s="24"/>
      <c r="FA5" s="24"/>
      <c r="FB5" s="24"/>
      <c r="FC5" s="24"/>
      <c r="FD5" s="24"/>
      <c r="FE5" s="24"/>
      <c r="FF5" s="24"/>
      <c r="FG5" s="23" t="str">
        <f t="shared" si="15"/>
        <v/>
      </c>
      <c r="FH5" s="24"/>
      <c r="FI5" s="24"/>
      <c r="FJ5" s="24"/>
      <c r="FK5" s="24"/>
      <c r="FL5" s="24"/>
      <c r="FM5" s="24"/>
      <c r="FN5" s="24"/>
      <c r="FO5" s="24"/>
      <c r="FP5" s="24"/>
      <c r="FQ5" s="24"/>
    </row>
    <row r="6" spans="1:173" x14ac:dyDescent="0.25">
      <c r="A6">
        <v>4063</v>
      </c>
      <c r="B6" t="str">
        <f t="shared" si="0"/>
        <v>TRHU4277081|MUJAX2650205</v>
      </c>
      <c r="C6" s="24">
        <v>46176.301087962966</v>
      </c>
      <c r="E6" t="s">
        <v>430</v>
      </c>
      <c r="F6" t="s">
        <v>419</v>
      </c>
      <c r="G6" t="s">
        <v>431</v>
      </c>
      <c r="H6" t="s">
        <v>432</v>
      </c>
      <c r="I6" s="22" t="str">
        <f t="shared" si="1"/>
        <v/>
      </c>
      <c r="J6" t="s">
        <v>432</v>
      </c>
      <c r="K6" t="s">
        <v>117</v>
      </c>
      <c r="L6" t="s">
        <v>117</v>
      </c>
      <c r="M6" t="s">
        <v>117</v>
      </c>
      <c r="N6" t="s">
        <v>117</v>
      </c>
      <c r="O6" t="s">
        <v>117</v>
      </c>
      <c r="P6" t="s">
        <v>117</v>
      </c>
      <c r="Q6" t="s">
        <v>662</v>
      </c>
      <c r="R6" t="s">
        <v>117</v>
      </c>
      <c r="S6" t="s">
        <v>117</v>
      </c>
      <c r="T6" s="22" t="str">
        <f t="shared" si="2"/>
        <v/>
      </c>
      <c r="U6" t="s">
        <v>429</v>
      </c>
      <c r="V6" t="s">
        <v>117</v>
      </c>
      <c r="X6" t="s">
        <v>117</v>
      </c>
      <c r="Y6" t="s">
        <v>117</v>
      </c>
      <c r="AA6" t="s">
        <v>117</v>
      </c>
      <c r="AB6" t="s">
        <v>418</v>
      </c>
      <c r="AC6" t="s">
        <v>117</v>
      </c>
      <c r="AE6" s="23" t="str">
        <f t="shared" si="3"/>
        <v/>
      </c>
      <c r="AF6" s="24">
        <v>46181</v>
      </c>
      <c r="AG6" s="24"/>
      <c r="AH6" s="24"/>
      <c r="AI6" s="24"/>
      <c r="AJ6" s="24"/>
      <c r="AK6" s="24"/>
      <c r="AL6" s="24"/>
      <c r="AM6" s="24">
        <v>46181</v>
      </c>
      <c r="AN6" s="24"/>
      <c r="AO6" s="24"/>
      <c r="AP6" s="23" t="str">
        <f t="shared" si="4"/>
        <v/>
      </c>
      <c r="AQ6" s="24">
        <v>46224</v>
      </c>
      <c r="AR6" s="24"/>
      <c r="AS6" s="24"/>
      <c r="AT6" s="24"/>
      <c r="AU6" s="24"/>
      <c r="AV6" s="24"/>
      <c r="AW6" s="24"/>
      <c r="AX6" s="24">
        <v>46224</v>
      </c>
      <c r="AY6" s="24"/>
      <c r="AZ6" s="24"/>
      <c r="BA6" s="23" t="str">
        <f t="shared" si="5"/>
        <v/>
      </c>
      <c r="BB6" s="24">
        <v>46224</v>
      </c>
      <c r="BC6" s="24"/>
      <c r="BD6" s="24"/>
      <c r="BE6" s="24"/>
      <c r="BF6" s="24"/>
      <c r="BG6" s="24"/>
      <c r="BH6" s="24"/>
      <c r="BI6" s="24">
        <v>46224</v>
      </c>
      <c r="BJ6" s="24"/>
      <c r="BK6" s="24"/>
      <c r="BL6" s="23" t="str">
        <f t="shared" si="6"/>
        <v/>
      </c>
      <c r="BM6" s="24"/>
      <c r="BN6" s="24"/>
      <c r="BO6" s="24"/>
      <c r="BP6" s="24"/>
      <c r="BQ6" s="24"/>
      <c r="BR6" s="24"/>
      <c r="BS6" s="24"/>
      <c r="BT6" s="24"/>
      <c r="BU6" s="24"/>
      <c r="BV6" s="24"/>
      <c r="BW6" s="23" t="str">
        <f t="shared" si="7"/>
        <v/>
      </c>
      <c r="BX6" s="24">
        <v>46230</v>
      </c>
      <c r="BY6" s="24"/>
      <c r="BZ6" s="24"/>
      <c r="CA6" s="24"/>
      <c r="CB6" s="24"/>
      <c r="CC6" s="24"/>
      <c r="CD6" s="24"/>
      <c r="CE6" s="24">
        <v>46230</v>
      </c>
      <c r="CF6" s="24"/>
      <c r="CG6" s="24"/>
      <c r="CH6" s="23" t="str">
        <f t="shared" si="8"/>
        <v/>
      </c>
      <c r="CI6" s="24">
        <v>46230</v>
      </c>
      <c r="CJ6" s="24"/>
      <c r="CK6" s="24"/>
      <c r="CL6" s="24"/>
      <c r="CM6" s="24"/>
      <c r="CN6" s="24"/>
      <c r="CO6" s="24"/>
      <c r="CP6" s="24">
        <v>46230</v>
      </c>
      <c r="CQ6" s="24"/>
      <c r="CR6" s="24"/>
      <c r="CS6" s="23">
        <f t="shared" si="9"/>
        <v>46231</v>
      </c>
      <c r="CT6" s="24">
        <v>46231</v>
      </c>
      <c r="CU6" s="24"/>
      <c r="CV6" s="24"/>
      <c r="CW6" s="24"/>
      <c r="CX6" s="24"/>
      <c r="CY6" s="24"/>
      <c r="CZ6" s="24"/>
      <c r="DA6" s="24"/>
      <c r="DB6" s="24"/>
      <c r="DC6" s="24"/>
      <c r="DD6" s="23">
        <f t="shared" si="10"/>
        <v>46231</v>
      </c>
      <c r="DE6" s="24">
        <v>46231</v>
      </c>
      <c r="DF6" s="24"/>
      <c r="DG6" s="24"/>
      <c r="DH6" s="24"/>
      <c r="DI6" s="24"/>
      <c r="DJ6" s="24"/>
      <c r="DK6" s="24"/>
      <c r="DL6" s="24">
        <v>46231</v>
      </c>
      <c r="DM6" s="24"/>
      <c r="DN6" s="24"/>
      <c r="DO6" s="22" t="str">
        <f t="shared" si="11"/>
        <v/>
      </c>
      <c r="DR6" t="s">
        <v>117</v>
      </c>
      <c r="DZ6" s="23">
        <f t="shared" si="12"/>
        <v>46231</v>
      </c>
      <c r="EA6" s="24"/>
      <c r="EB6" s="24"/>
      <c r="EC6" s="24"/>
      <c r="ED6" s="24"/>
      <c r="EE6" s="24"/>
      <c r="EF6" s="24"/>
      <c r="EG6" s="24"/>
      <c r="EH6" s="24">
        <v>46231</v>
      </c>
      <c r="EI6" s="24"/>
      <c r="EJ6" s="24"/>
      <c r="EK6" s="23" t="str">
        <f t="shared" si="13"/>
        <v/>
      </c>
      <c r="EL6" s="24"/>
      <c r="EM6" s="24"/>
      <c r="EN6" s="24"/>
      <c r="EO6" s="24"/>
      <c r="EP6" s="24"/>
      <c r="EQ6" s="24"/>
      <c r="ER6" s="24"/>
      <c r="ES6" s="24"/>
      <c r="ET6" s="24"/>
      <c r="EU6" s="24"/>
      <c r="EV6" s="23" t="str">
        <f t="shared" si="14"/>
        <v/>
      </c>
      <c r="EW6" s="24"/>
      <c r="EX6" s="24"/>
      <c r="EY6" s="24"/>
      <c r="EZ6" s="24"/>
      <c r="FA6" s="24"/>
      <c r="FB6" s="24"/>
      <c r="FC6" s="24"/>
      <c r="FD6" s="24"/>
      <c r="FE6" s="24"/>
      <c r="FF6" s="24"/>
      <c r="FG6" s="23" t="str">
        <f t="shared" si="15"/>
        <v/>
      </c>
      <c r="FH6" s="24"/>
      <c r="FI6" s="24"/>
      <c r="FJ6" s="24"/>
      <c r="FK6" s="24"/>
      <c r="FL6" s="24"/>
      <c r="FM6" s="24"/>
      <c r="FN6" s="24"/>
      <c r="FO6" s="24"/>
      <c r="FP6" s="24"/>
      <c r="FQ6" s="24"/>
    </row>
    <row r="7" spans="1:173" x14ac:dyDescent="0.25">
      <c r="A7">
        <v>4090</v>
      </c>
      <c r="B7" t="str">
        <f t="shared" si="0"/>
        <v>KOCU5018605|HANM76892100</v>
      </c>
      <c r="C7" s="24">
        <v>46191.314976851849</v>
      </c>
      <c r="E7" t="s">
        <v>433</v>
      </c>
      <c r="F7" t="s">
        <v>434</v>
      </c>
      <c r="G7" t="s">
        <v>435</v>
      </c>
      <c r="H7" t="s">
        <v>436</v>
      </c>
      <c r="I7" s="22" t="str">
        <f t="shared" si="1"/>
        <v/>
      </c>
      <c r="J7" t="s">
        <v>436</v>
      </c>
      <c r="K7" t="s">
        <v>117</v>
      </c>
      <c r="L7" t="s">
        <v>117</v>
      </c>
      <c r="M7" t="s">
        <v>117</v>
      </c>
      <c r="N7" t="s">
        <v>117</v>
      </c>
      <c r="O7" t="s">
        <v>117</v>
      </c>
      <c r="P7" t="s">
        <v>117</v>
      </c>
      <c r="Q7" t="s">
        <v>659</v>
      </c>
      <c r="R7" t="s">
        <v>117</v>
      </c>
      <c r="S7" t="s">
        <v>117</v>
      </c>
      <c r="T7" s="22" t="str">
        <f t="shared" si="2"/>
        <v/>
      </c>
      <c r="U7" t="s">
        <v>437</v>
      </c>
      <c r="V7" t="s">
        <v>117</v>
      </c>
      <c r="X7" t="s">
        <v>117</v>
      </c>
      <c r="Y7" t="s">
        <v>117</v>
      </c>
      <c r="AA7" t="s">
        <v>117</v>
      </c>
      <c r="AB7" t="s">
        <v>445</v>
      </c>
      <c r="AC7" t="s">
        <v>117</v>
      </c>
      <c r="AE7" s="23" t="str">
        <f t="shared" si="3"/>
        <v/>
      </c>
      <c r="AF7" s="24">
        <v>46202</v>
      </c>
      <c r="AG7" s="24"/>
      <c r="AH7" s="24"/>
      <c r="AI7" s="24"/>
      <c r="AJ7" s="24"/>
      <c r="AK7" s="24"/>
      <c r="AL7" s="24"/>
      <c r="AM7" s="24">
        <v>46202</v>
      </c>
      <c r="AN7" s="24"/>
      <c r="AO7" s="24"/>
      <c r="AP7" s="23" t="str">
        <f t="shared" si="4"/>
        <v/>
      </c>
      <c r="AQ7" s="24">
        <v>46224</v>
      </c>
      <c r="AR7" s="24"/>
      <c r="AS7" s="24"/>
      <c r="AT7" s="24"/>
      <c r="AU7" s="24"/>
      <c r="AV7" s="24"/>
      <c r="AW7" s="24"/>
      <c r="AX7" s="24">
        <v>46224</v>
      </c>
      <c r="AY7" s="24"/>
      <c r="AZ7" s="24"/>
      <c r="BA7" s="23" t="str">
        <f t="shared" si="5"/>
        <v/>
      </c>
      <c r="BB7" s="24">
        <v>46224</v>
      </c>
      <c r="BC7" s="24"/>
      <c r="BD7" s="24"/>
      <c r="BE7" s="24"/>
      <c r="BF7" s="24"/>
      <c r="BG7" s="24"/>
      <c r="BH7" s="24"/>
      <c r="BI7" s="24">
        <v>46224</v>
      </c>
      <c r="BJ7" s="24"/>
      <c r="BK7" s="24"/>
      <c r="BL7" s="23" t="str">
        <f t="shared" si="6"/>
        <v/>
      </c>
      <c r="BM7" s="24"/>
      <c r="BN7" s="24"/>
      <c r="BO7" s="24"/>
      <c r="BP7" s="24"/>
      <c r="BQ7" s="24"/>
      <c r="BR7" s="24"/>
      <c r="BS7" s="24"/>
      <c r="BT7" s="24"/>
      <c r="BU7" s="24"/>
      <c r="BV7" s="24"/>
      <c r="BW7" s="23" t="str">
        <f t="shared" si="7"/>
        <v/>
      </c>
      <c r="BX7" s="24">
        <v>46232</v>
      </c>
      <c r="BY7" s="24"/>
      <c r="BZ7" s="24"/>
      <c r="CA7" s="24"/>
      <c r="CB7" s="24"/>
      <c r="CC7" s="24"/>
      <c r="CD7" s="24"/>
      <c r="CE7" s="24">
        <v>46232</v>
      </c>
      <c r="CF7" s="24"/>
      <c r="CG7" s="24"/>
      <c r="CH7" s="23" t="str">
        <f t="shared" si="8"/>
        <v/>
      </c>
      <c r="CI7" s="24">
        <v>46231</v>
      </c>
      <c r="CJ7" s="24"/>
      <c r="CK7" s="24"/>
      <c r="CL7" s="24"/>
      <c r="CM7" s="24"/>
      <c r="CN7" s="24"/>
      <c r="CO7" s="24"/>
      <c r="CP7" s="24">
        <v>46231</v>
      </c>
      <c r="CQ7" s="24"/>
      <c r="CR7" s="24"/>
      <c r="CS7" s="23">
        <f t="shared" si="9"/>
        <v>46231</v>
      </c>
      <c r="CT7" s="24">
        <v>46231</v>
      </c>
      <c r="CU7" s="24"/>
      <c r="CV7" s="24"/>
      <c r="CW7" s="24"/>
      <c r="CX7" s="24"/>
      <c r="CY7" s="24"/>
      <c r="CZ7" s="24"/>
      <c r="DA7" s="24"/>
      <c r="DB7" s="24"/>
      <c r="DC7" s="24"/>
      <c r="DD7" s="23">
        <f t="shared" si="10"/>
        <v>46231</v>
      </c>
      <c r="DE7" s="24">
        <v>46231</v>
      </c>
      <c r="DF7" s="24"/>
      <c r="DG7" s="24"/>
      <c r="DH7" s="24"/>
      <c r="DI7" s="24"/>
      <c r="DJ7" s="24"/>
      <c r="DK7" s="24"/>
      <c r="DL7" s="24">
        <v>46231</v>
      </c>
      <c r="DM7" s="24"/>
      <c r="DN7" s="24"/>
      <c r="DO7" s="22" t="str">
        <f t="shared" si="11"/>
        <v/>
      </c>
      <c r="DR7" t="s">
        <v>117</v>
      </c>
      <c r="DZ7" s="23" t="str">
        <f t="shared" si="12"/>
        <v/>
      </c>
      <c r="EA7" s="24"/>
      <c r="EB7" s="24"/>
      <c r="EC7" s="24"/>
      <c r="ED7" s="24"/>
      <c r="EE7" s="24"/>
      <c r="EF7" s="24"/>
      <c r="EG7" s="24"/>
      <c r="EH7" s="24"/>
      <c r="EI7" s="24"/>
      <c r="EJ7" s="24"/>
      <c r="EK7" s="23" t="str">
        <f t="shared" si="13"/>
        <v/>
      </c>
      <c r="EL7" s="24"/>
      <c r="EM7" s="24"/>
      <c r="EN7" s="24"/>
      <c r="EO7" s="24"/>
      <c r="EP7" s="24"/>
      <c r="EQ7" s="24"/>
      <c r="ER7" s="24"/>
      <c r="ES7" s="24"/>
      <c r="ET7" s="24"/>
      <c r="EU7" s="24"/>
      <c r="EV7" s="23" t="str">
        <f t="shared" si="14"/>
        <v/>
      </c>
      <c r="EW7" s="24"/>
      <c r="EX7" s="24"/>
      <c r="EY7" s="24"/>
      <c r="EZ7" s="24"/>
      <c r="FA7" s="24"/>
      <c r="FB7" s="24"/>
      <c r="FC7" s="24"/>
      <c r="FD7" s="24"/>
      <c r="FE7" s="24"/>
      <c r="FF7" s="24"/>
      <c r="FG7" s="23" t="str">
        <f t="shared" si="15"/>
        <v/>
      </c>
      <c r="FH7" s="24"/>
      <c r="FI7" s="24"/>
      <c r="FJ7" s="24"/>
      <c r="FK7" s="24"/>
      <c r="FL7" s="24"/>
      <c r="FM7" s="24"/>
      <c r="FN7" s="24"/>
      <c r="FO7" s="24"/>
      <c r="FP7" s="24"/>
      <c r="FQ7" s="24"/>
    </row>
    <row r="8" spans="1:173" x14ac:dyDescent="0.25">
      <c r="A8">
        <v>4106</v>
      </c>
      <c r="B8" t="str">
        <f t="shared" si="0"/>
        <v>TEMU7293550|HANM23089500</v>
      </c>
      <c r="C8" s="24">
        <v>46202.302719907406</v>
      </c>
      <c r="E8" t="s">
        <v>438</v>
      </c>
      <c r="F8" t="s">
        <v>434</v>
      </c>
      <c r="G8" t="s">
        <v>439</v>
      </c>
      <c r="H8" t="s">
        <v>440</v>
      </c>
      <c r="I8" s="22" t="str">
        <f t="shared" si="1"/>
        <v/>
      </c>
      <c r="J8" t="s">
        <v>440</v>
      </c>
      <c r="K8" t="s">
        <v>117</v>
      </c>
      <c r="L8" t="s">
        <v>117</v>
      </c>
      <c r="M8" t="s">
        <v>117</v>
      </c>
      <c r="N8" t="s">
        <v>117</v>
      </c>
      <c r="O8" t="s">
        <v>117</v>
      </c>
      <c r="P8" t="s">
        <v>117</v>
      </c>
      <c r="Q8" t="s">
        <v>658</v>
      </c>
      <c r="R8" t="s">
        <v>117</v>
      </c>
      <c r="S8" t="s">
        <v>117</v>
      </c>
      <c r="T8" s="22" t="str">
        <f t="shared" si="2"/>
        <v/>
      </c>
      <c r="U8" t="s">
        <v>441</v>
      </c>
      <c r="V8" t="s">
        <v>117</v>
      </c>
      <c r="X8" t="s">
        <v>117</v>
      </c>
      <c r="Y8" t="s">
        <v>117</v>
      </c>
      <c r="AA8" t="s">
        <v>117</v>
      </c>
      <c r="AB8" t="s">
        <v>445</v>
      </c>
      <c r="AC8" t="s">
        <v>117</v>
      </c>
      <c r="AE8" s="23" t="str">
        <f t="shared" si="3"/>
        <v/>
      </c>
      <c r="AF8" s="24">
        <v>46202</v>
      </c>
      <c r="AG8" s="24"/>
      <c r="AH8" s="24"/>
      <c r="AI8" s="24"/>
      <c r="AJ8" s="24"/>
      <c r="AK8" s="24"/>
      <c r="AL8" s="24"/>
      <c r="AM8" s="24">
        <v>46202</v>
      </c>
      <c r="AN8" s="24"/>
      <c r="AO8" s="24"/>
      <c r="AP8" s="23" t="str">
        <f t="shared" si="4"/>
        <v/>
      </c>
      <c r="AQ8" s="24">
        <v>46224</v>
      </c>
      <c r="AR8" s="24"/>
      <c r="AS8" s="24"/>
      <c r="AT8" s="24"/>
      <c r="AU8" s="24"/>
      <c r="AV8" s="24"/>
      <c r="AW8" s="24"/>
      <c r="AX8" s="24">
        <v>46224</v>
      </c>
      <c r="AY8" s="24"/>
      <c r="AZ8" s="24"/>
      <c r="BA8" s="23" t="str">
        <f t="shared" si="5"/>
        <v/>
      </c>
      <c r="BB8" s="24">
        <v>46224</v>
      </c>
      <c r="BC8" s="24"/>
      <c r="BD8" s="24"/>
      <c r="BE8" s="24"/>
      <c r="BF8" s="24"/>
      <c r="BG8" s="24"/>
      <c r="BH8" s="24"/>
      <c r="BI8" s="24">
        <v>46224</v>
      </c>
      <c r="BJ8" s="24"/>
      <c r="BK8" s="24"/>
      <c r="BL8" s="23" t="str">
        <f t="shared" si="6"/>
        <v/>
      </c>
      <c r="BM8" s="24"/>
      <c r="BN8" s="24"/>
      <c r="BO8" s="24"/>
      <c r="BP8" s="24"/>
      <c r="BQ8" s="24"/>
      <c r="BR8" s="24"/>
      <c r="BS8" s="24"/>
      <c r="BT8" s="24"/>
      <c r="BU8" s="24"/>
      <c r="BV8" s="24"/>
      <c r="BW8" s="23" t="str">
        <f t="shared" si="7"/>
        <v/>
      </c>
      <c r="BX8" s="24">
        <v>46232</v>
      </c>
      <c r="BY8" s="24"/>
      <c r="BZ8" s="24"/>
      <c r="CA8" s="24"/>
      <c r="CB8" s="24"/>
      <c r="CC8" s="24"/>
      <c r="CD8" s="24"/>
      <c r="CE8" s="24">
        <v>46232</v>
      </c>
      <c r="CF8" s="24"/>
      <c r="CG8" s="24"/>
      <c r="CH8" s="23" t="str">
        <f t="shared" si="8"/>
        <v/>
      </c>
      <c r="CI8" s="24">
        <v>46232</v>
      </c>
      <c r="CJ8" s="24"/>
      <c r="CK8" s="24"/>
      <c r="CL8" s="24"/>
      <c r="CM8" s="24"/>
      <c r="CN8" s="24"/>
      <c r="CO8" s="24"/>
      <c r="CP8" s="24"/>
      <c r="CQ8" s="24"/>
      <c r="CR8" s="24"/>
      <c r="CS8" s="23">
        <f t="shared" si="9"/>
        <v>46233</v>
      </c>
      <c r="CT8" s="24">
        <v>46233</v>
      </c>
      <c r="CU8" s="24"/>
      <c r="CV8" s="24"/>
      <c r="CW8" s="24"/>
      <c r="CX8" s="24"/>
      <c r="CY8" s="24"/>
      <c r="CZ8" s="24"/>
      <c r="DA8" s="24"/>
      <c r="DB8" s="24"/>
      <c r="DC8" s="24"/>
      <c r="DD8" s="23">
        <f t="shared" si="10"/>
        <v>46233</v>
      </c>
      <c r="DE8" s="24">
        <v>46233</v>
      </c>
      <c r="DF8" s="24"/>
      <c r="DG8" s="24"/>
      <c r="DH8" s="24"/>
      <c r="DI8" s="24"/>
      <c r="DJ8" s="24"/>
      <c r="DK8" s="24"/>
      <c r="DL8" s="24">
        <v>46233</v>
      </c>
      <c r="DM8" s="24"/>
      <c r="DN8" s="24"/>
      <c r="DO8" s="22" t="str">
        <f t="shared" si="11"/>
        <v/>
      </c>
      <c r="DR8" t="s">
        <v>117</v>
      </c>
      <c r="DZ8" s="23" t="str">
        <f t="shared" si="12"/>
        <v/>
      </c>
      <c r="EA8" s="24"/>
      <c r="EB8" s="24"/>
      <c r="EC8" s="24"/>
      <c r="ED8" s="24"/>
      <c r="EE8" s="24"/>
      <c r="EF8" s="24"/>
      <c r="EG8" s="24"/>
      <c r="EH8" s="24"/>
      <c r="EI8" s="24"/>
      <c r="EJ8" s="24"/>
      <c r="EK8" s="23" t="str">
        <f t="shared" si="13"/>
        <v/>
      </c>
      <c r="EL8" s="24"/>
      <c r="EM8" s="24"/>
      <c r="EN8" s="24"/>
      <c r="EO8" s="24"/>
      <c r="EP8" s="24"/>
      <c r="EQ8" s="24"/>
      <c r="ER8" s="24"/>
      <c r="ES8" s="24"/>
      <c r="ET8" s="24"/>
      <c r="EU8" s="24"/>
      <c r="EV8" s="23" t="str">
        <f t="shared" si="14"/>
        <v/>
      </c>
      <c r="EW8" s="24"/>
      <c r="EX8" s="24"/>
      <c r="EY8" s="24"/>
      <c r="EZ8" s="24"/>
      <c r="FA8" s="24"/>
      <c r="FB8" s="24"/>
      <c r="FC8" s="24"/>
      <c r="FD8" s="24"/>
      <c r="FE8" s="24"/>
      <c r="FF8" s="24"/>
      <c r="FG8" s="23" t="str">
        <f t="shared" si="15"/>
        <v/>
      </c>
      <c r="FH8" s="24"/>
      <c r="FI8" s="24"/>
      <c r="FJ8" s="24"/>
      <c r="FK8" s="24"/>
      <c r="FL8" s="24"/>
      <c r="FM8" s="24"/>
      <c r="FN8" s="24"/>
      <c r="FO8" s="24"/>
      <c r="FP8" s="24"/>
      <c r="FQ8" s="24"/>
    </row>
    <row r="9" spans="1:173" x14ac:dyDescent="0.25">
      <c r="A9">
        <v>4107</v>
      </c>
      <c r="B9" t="str">
        <f t="shared" si="0"/>
        <v>HMMU4189844|HDMUHANM68959300</v>
      </c>
      <c r="C9" s="24">
        <v>46202.307500000003</v>
      </c>
      <c r="E9" t="s">
        <v>442</v>
      </c>
      <c r="F9" t="s">
        <v>434</v>
      </c>
      <c r="G9" t="s">
        <v>443</v>
      </c>
      <c r="H9" t="s">
        <v>444</v>
      </c>
      <c r="I9" s="22" t="str">
        <f t="shared" si="1"/>
        <v/>
      </c>
      <c r="J9" t="s">
        <v>444</v>
      </c>
      <c r="K9" t="s">
        <v>444</v>
      </c>
      <c r="L9" t="s">
        <v>117</v>
      </c>
      <c r="M9" t="s">
        <v>117</v>
      </c>
      <c r="N9" t="s">
        <v>444</v>
      </c>
      <c r="O9" t="s">
        <v>117</v>
      </c>
      <c r="P9" t="s">
        <v>117</v>
      </c>
      <c r="Q9" t="s">
        <v>444</v>
      </c>
      <c r="R9" t="s">
        <v>444</v>
      </c>
      <c r="S9" t="s">
        <v>117</v>
      </c>
      <c r="T9" s="22" t="str">
        <f t="shared" si="2"/>
        <v/>
      </c>
      <c r="U9" t="s">
        <v>445</v>
      </c>
      <c r="V9" t="s">
        <v>445</v>
      </c>
      <c r="X9" t="s">
        <v>117</v>
      </c>
      <c r="Y9" t="s">
        <v>445</v>
      </c>
      <c r="AA9" t="s">
        <v>117</v>
      </c>
      <c r="AB9" t="s">
        <v>445</v>
      </c>
      <c r="AC9" t="s">
        <v>445</v>
      </c>
      <c r="AE9" s="23" t="str">
        <f t="shared" si="3"/>
        <v/>
      </c>
      <c r="AF9" s="24">
        <v>46201</v>
      </c>
      <c r="AG9" s="24">
        <v>46201</v>
      </c>
      <c r="AH9" s="24"/>
      <c r="AI9" s="24"/>
      <c r="AJ9" s="24">
        <v>46202.05</v>
      </c>
      <c r="AK9" s="24"/>
      <c r="AL9" s="24"/>
      <c r="AM9" s="24">
        <v>46202</v>
      </c>
      <c r="AN9" s="24">
        <v>46201</v>
      </c>
      <c r="AO9" s="24"/>
      <c r="AP9" s="23" t="str">
        <f t="shared" si="4"/>
        <v/>
      </c>
      <c r="AQ9" s="24">
        <v>46224</v>
      </c>
      <c r="AR9" s="24">
        <v>46224</v>
      </c>
      <c r="AS9" s="24"/>
      <c r="AT9" s="24"/>
      <c r="AU9" s="24">
        <v>46224.666666666664</v>
      </c>
      <c r="AV9" s="24"/>
      <c r="AW9" s="24"/>
      <c r="AX9" s="24">
        <v>46224</v>
      </c>
      <c r="AY9" s="24">
        <v>46224</v>
      </c>
      <c r="AZ9" s="24"/>
      <c r="BA9" s="23">
        <f t="shared" si="5"/>
        <v>46224.668055555558</v>
      </c>
      <c r="BB9" s="24">
        <v>46224</v>
      </c>
      <c r="BC9" s="24"/>
      <c r="BD9" s="24"/>
      <c r="BE9" s="24"/>
      <c r="BF9" s="24">
        <v>46224.668055555558</v>
      </c>
      <c r="BG9" s="24"/>
      <c r="BH9" s="24"/>
      <c r="BI9" s="24">
        <v>46224</v>
      </c>
      <c r="BJ9" s="24">
        <v>46224</v>
      </c>
      <c r="BK9" s="24"/>
      <c r="BL9" s="23" t="str">
        <f t="shared" si="6"/>
        <v/>
      </c>
      <c r="BM9" s="24">
        <v>46224</v>
      </c>
      <c r="BN9" s="24">
        <v>46224</v>
      </c>
      <c r="BO9" s="24"/>
      <c r="BP9" s="24"/>
      <c r="BQ9" s="24"/>
      <c r="BR9" s="24"/>
      <c r="BS9" s="24"/>
      <c r="BT9" s="24"/>
      <c r="BU9" s="24">
        <v>46225</v>
      </c>
      <c r="BV9" s="24"/>
      <c r="BW9" s="23" t="str">
        <f t="shared" si="7"/>
        <v/>
      </c>
      <c r="BX9" s="24">
        <v>46231</v>
      </c>
      <c r="BY9" s="24">
        <v>46231</v>
      </c>
      <c r="BZ9" s="24"/>
      <c r="CA9" s="24"/>
      <c r="CB9" s="24"/>
      <c r="CC9" s="24"/>
      <c r="CD9" s="24"/>
      <c r="CE9" s="24">
        <v>46232</v>
      </c>
      <c r="CF9" s="24"/>
      <c r="CG9" s="24"/>
      <c r="CH9" s="23" t="str">
        <f t="shared" si="8"/>
        <v/>
      </c>
      <c r="CI9" s="24">
        <v>46231</v>
      </c>
      <c r="CJ9" s="24"/>
      <c r="CK9" s="24"/>
      <c r="CL9" s="24"/>
      <c r="CM9" s="24"/>
      <c r="CN9" s="24"/>
      <c r="CO9" s="24"/>
      <c r="CP9" s="24">
        <v>46231</v>
      </c>
      <c r="CQ9" s="24"/>
      <c r="CR9" s="24"/>
      <c r="CS9" s="23">
        <f t="shared" si="9"/>
        <v>46232</v>
      </c>
      <c r="CT9" s="24">
        <v>46232</v>
      </c>
      <c r="CU9" s="24">
        <v>46229</v>
      </c>
      <c r="CV9" s="24"/>
      <c r="CW9" s="24"/>
      <c r="CX9" s="24"/>
      <c r="CY9" s="24"/>
      <c r="CZ9" s="24"/>
      <c r="DA9" s="24"/>
      <c r="DB9" s="24"/>
      <c r="DC9" s="24"/>
      <c r="DD9" s="23">
        <f t="shared" si="10"/>
        <v>46232</v>
      </c>
      <c r="DE9" s="24">
        <v>46232</v>
      </c>
      <c r="DF9" s="24"/>
      <c r="DG9" s="24"/>
      <c r="DH9" s="24"/>
      <c r="DI9" s="24"/>
      <c r="DJ9" s="24"/>
      <c r="DK9" s="24"/>
      <c r="DL9" s="24">
        <v>46232</v>
      </c>
      <c r="DM9" s="24"/>
      <c r="DN9" s="24"/>
      <c r="DO9" s="22" t="str">
        <f t="shared" si="11"/>
        <v/>
      </c>
      <c r="DR9" t="s">
        <v>117</v>
      </c>
      <c r="DZ9" s="23" t="str">
        <f t="shared" si="12"/>
        <v/>
      </c>
      <c r="EA9" s="24"/>
      <c r="EB9" s="24"/>
      <c r="EC9" s="24"/>
      <c r="ED9" s="24"/>
      <c r="EE9" s="24"/>
      <c r="EF9" s="24"/>
      <c r="EG9" s="24"/>
      <c r="EH9" s="24"/>
      <c r="EI9" s="24"/>
      <c r="EJ9" s="24"/>
      <c r="EK9" s="23" t="str">
        <f t="shared" si="13"/>
        <v/>
      </c>
      <c r="EL9" s="24"/>
      <c r="EM9" s="24"/>
      <c r="EN9" s="24"/>
      <c r="EO9" s="24"/>
      <c r="EP9" s="24"/>
      <c r="EQ9" s="24"/>
      <c r="ER9" s="24"/>
      <c r="ES9" s="24"/>
      <c r="ET9" s="24"/>
      <c r="EU9" s="24"/>
      <c r="EV9" s="23" t="str">
        <f t="shared" si="14"/>
        <v/>
      </c>
      <c r="EW9" s="24"/>
      <c r="EX9" s="24"/>
      <c r="EY9" s="24"/>
      <c r="EZ9" s="24"/>
      <c r="FA9" s="24"/>
      <c r="FB9" s="24"/>
      <c r="FC9" s="24"/>
      <c r="FD9" s="24"/>
      <c r="FE9" s="24"/>
      <c r="FF9" s="24"/>
      <c r="FG9" s="23" t="str">
        <f t="shared" si="15"/>
        <v/>
      </c>
      <c r="FH9" s="24"/>
      <c r="FI9" s="24"/>
      <c r="FJ9" s="24"/>
      <c r="FK9" s="24"/>
      <c r="FL9" s="24"/>
      <c r="FM9" s="24"/>
      <c r="FN9" s="24"/>
      <c r="FO9" s="24"/>
      <c r="FP9" s="24"/>
      <c r="FQ9" s="24"/>
    </row>
    <row r="10" spans="1:173" x14ac:dyDescent="0.25">
      <c r="A10">
        <v>4135</v>
      </c>
      <c r="B10" t="str">
        <f t="shared" si="0"/>
        <v>MRKU6404488|MAEU273896760</v>
      </c>
      <c r="C10" s="24">
        <v>46212.550185185188</v>
      </c>
      <c r="E10" t="s">
        <v>446</v>
      </c>
      <c r="G10" t="s">
        <v>447</v>
      </c>
      <c r="H10" t="s">
        <v>448</v>
      </c>
      <c r="I10" s="22" t="str">
        <f t="shared" si="1"/>
        <v/>
      </c>
      <c r="J10" t="s">
        <v>448</v>
      </c>
      <c r="K10" t="s">
        <v>117</v>
      </c>
      <c r="L10" t="s">
        <v>117</v>
      </c>
      <c r="M10" t="s">
        <v>117</v>
      </c>
      <c r="N10" t="s">
        <v>117</v>
      </c>
      <c r="O10" t="s">
        <v>117</v>
      </c>
      <c r="P10" t="s">
        <v>117</v>
      </c>
      <c r="Q10" t="s">
        <v>448</v>
      </c>
      <c r="R10" t="s">
        <v>117</v>
      </c>
      <c r="S10" t="s">
        <v>117</v>
      </c>
      <c r="T10" s="22" t="str">
        <f t="shared" si="2"/>
        <v/>
      </c>
      <c r="U10" t="s">
        <v>449</v>
      </c>
      <c r="V10" t="s">
        <v>117</v>
      </c>
      <c r="X10" t="s">
        <v>117</v>
      </c>
      <c r="Y10" t="s">
        <v>117</v>
      </c>
      <c r="AA10" t="s">
        <v>117</v>
      </c>
      <c r="AB10" t="s">
        <v>449</v>
      </c>
      <c r="AC10" t="s">
        <v>117</v>
      </c>
      <c r="AE10" s="23" t="str">
        <f t="shared" si="3"/>
        <v/>
      </c>
      <c r="AF10" s="24">
        <v>46217</v>
      </c>
      <c r="AG10" s="24"/>
      <c r="AH10" s="24"/>
      <c r="AI10" s="24"/>
      <c r="AJ10" s="24"/>
      <c r="AK10" s="24"/>
      <c r="AL10" s="24"/>
      <c r="AM10" s="24">
        <v>46217</v>
      </c>
      <c r="AN10" s="24"/>
      <c r="AO10" s="24"/>
      <c r="AP10" s="23" t="str">
        <f t="shared" si="4"/>
        <v/>
      </c>
      <c r="AQ10" s="24">
        <v>46227</v>
      </c>
      <c r="AR10" s="24"/>
      <c r="AS10" s="24"/>
      <c r="AT10" s="24"/>
      <c r="AU10" s="24"/>
      <c r="AV10" s="24"/>
      <c r="AW10" s="24"/>
      <c r="AX10" s="24">
        <v>46227</v>
      </c>
      <c r="AY10" s="24"/>
      <c r="AZ10" s="24"/>
      <c r="BA10" s="23" t="str">
        <f t="shared" si="5"/>
        <v/>
      </c>
      <c r="BB10" s="24">
        <v>46227</v>
      </c>
      <c r="BC10" s="24"/>
      <c r="BD10" s="24"/>
      <c r="BE10" s="24"/>
      <c r="BF10" s="24"/>
      <c r="BG10" s="24"/>
      <c r="BH10" s="24"/>
      <c r="BI10" s="24">
        <v>46227</v>
      </c>
      <c r="BJ10" s="24"/>
      <c r="BK10" s="24"/>
      <c r="BL10" s="23" t="str">
        <f t="shared" si="6"/>
        <v/>
      </c>
      <c r="BM10" s="24"/>
      <c r="BN10" s="24"/>
      <c r="BO10" s="24"/>
      <c r="BP10" s="24"/>
      <c r="BQ10" s="24"/>
      <c r="BR10" s="24"/>
      <c r="BS10" s="24"/>
      <c r="BT10" s="24"/>
      <c r="BU10" s="24"/>
      <c r="BV10" s="24"/>
      <c r="BW10" s="23" t="str">
        <f t="shared" si="7"/>
        <v/>
      </c>
      <c r="BX10" s="24">
        <v>46233</v>
      </c>
      <c r="BY10" s="24"/>
      <c r="BZ10" s="24"/>
      <c r="CA10" s="24"/>
      <c r="CB10" s="24"/>
      <c r="CC10" s="24"/>
      <c r="CD10" s="24"/>
      <c r="CE10" s="24">
        <v>46233</v>
      </c>
      <c r="CF10" s="24"/>
      <c r="CG10" s="24"/>
      <c r="CH10" s="23" t="str">
        <f t="shared" si="8"/>
        <v/>
      </c>
      <c r="CI10" s="24">
        <v>46232</v>
      </c>
      <c r="CJ10" s="24"/>
      <c r="CK10" s="24"/>
      <c r="CL10" s="24"/>
      <c r="CM10" s="24"/>
      <c r="CN10" s="24"/>
      <c r="CO10" s="24"/>
      <c r="CP10" s="24"/>
      <c r="CQ10" s="24"/>
      <c r="CR10" s="24"/>
      <c r="CS10" s="23">
        <f t="shared" si="9"/>
        <v>46232</v>
      </c>
      <c r="CT10" s="24">
        <v>46232</v>
      </c>
      <c r="CU10" s="24"/>
      <c r="CV10" s="24"/>
      <c r="CW10" s="24"/>
      <c r="CX10" s="24"/>
      <c r="CY10" s="24"/>
      <c r="CZ10" s="24"/>
      <c r="DA10" s="24"/>
      <c r="DB10" s="24"/>
      <c r="DC10" s="24"/>
      <c r="DD10" s="23">
        <f t="shared" si="10"/>
        <v>46232</v>
      </c>
      <c r="DE10" s="24">
        <v>46232</v>
      </c>
      <c r="DF10" s="24"/>
      <c r="DG10" s="24"/>
      <c r="DH10" s="24"/>
      <c r="DI10" s="24"/>
      <c r="DJ10" s="24"/>
      <c r="DK10" s="24"/>
      <c r="DL10" s="24">
        <v>46232</v>
      </c>
      <c r="DM10" s="24"/>
      <c r="DN10" s="24"/>
      <c r="DO10" s="22" t="str">
        <f t="shared" si="11"/>
        <v/>
      </c>
      <c r="DR10" t="s">
        <v>117</v>
      </c>
      <c r="DZ10" s="23" t="str">
        <f t="shared" si="12"/>
        <v/>
      </c>
      <c r="EA10" s="24"/>
      <c r="EB10" s="24"/>
      <c r="EC10" s="24"/>
      <c r="ED10" s="24"/>
      <c r="EE10" s="24"/>
      <c r="EF10" s="24"/>
      <c r="EG10" s="24"/>
      <c r="EH10" s="24"/>
      <c r="EI10" s="24"/>
      <c r="EJ10" s="24"/>
      <c r="EK10" s="23" t="str">
        <f t="shared" si="13"/>
        <v/>
      </c>
      <c r="EL10" s="24"/>
      <c r="EM10" s="24"/>
      <c r="EN10" s="24"/>
      <c r="EO10" s="24"/>
      <c r="EP10" s="24"/>
      <c r="EQ10" s="24"/>
      <c r="ER10" s="24"/>
      <c r="ES10" s="24"/>
      <c r="ET10" s="24"/>
      <c r="EU10" s="24"/>
      <c r="EV10" s="23" t="str">
        <f t="shared" si="14"/>
        <v/>
      </c>
      <c r="EW10" s="24"/>
      <c r="EX10" s="24"/>
      <c r="EY10" s="24"/>
      <c r="EZ10" s="24"/>
      <c r="FA10" s="24"/>
      <c r="FB10" s="24"/>
      <c r="FC10" s="24"/>
      <c r="FD10" s="24"/>
      <c r="FE10" s="24"/>
      <c r="FF10" s="24"/>
      <c r="FG10" s="23" t="str">
        <f t="shared" si="15"/>
        <v/>
      </c>
      <c r="FH10" s="24"/>
      <c r="FI10" s="24"/>
      <c r="FJ10" s="24"/>
      <c r="FK10" s="24"/>
      <c r="FL10" s="24"/>
      <c r="FM10" s="24"/>
      <c r="FN10" s="24"/>
      <c r="FO10" s="24"/>
      <c r="FP10" s="24"/>
      <c r="FQ10" s="24"/>
    </row>
    <row r="11" spans="1:173" x14ac:dyDescent="0.25">
      <c r="A11">
        <v>4069</v>
      </c>
      <c r="B11" t="str">
        <f t="shared" si="0"/>
        <v>HMMU4021193|AMDM10469700</v>
      </c>
      <c r="C11" s="24">
        <v>46181.437372685185</v>
      </c>
      <c r="E11" t="s">
        <v>450</v>
      </c>
      <c r="F11" t="s">
        <v>434</v>
      </c>
      <c r="G11" t="s">
        <v>451</v>
      </c>
      <c r="H11" t="s">
        <v>452</v>
      </c>
      <c r="I11" s="22" t="str">
        <f t="shared" si="1"/>
        <v/>
      </c>
      <c r="J11" t="s">
        <v>452</v>
      </c>
      <c r="K11" t="s">
        <v>117</v>
      </c>
      <c r="L11" t="s">
        <v>117</v>
      </c>
      <c r="M11" t="s">
        <v>117</v>
      </c>
      <c r="N11" t="s">
        <v>117</v>
      </c>
      <c r="O11" t="s">
        <v>117</v>
      </c>
      <c r="P11" t="s">
        <v>117</v>
      </c>
      <c r="Q11" t="s">
        <v>663</v>
      </c>
      <c r="R11" t="s">
        <v>117</v>
      </c>
      <c r="S11" t="s">
        <v>117</v>
      </c>
      <c r="T11" s="22" t="str">
        <f t="shared" si="2"/>
        <v/>
      </c>
      <c r="U11" t="s">
        <v>453</v>
      </c>
      <c r="V11" t="s">
        <v>117</v>
      </c>
      <c r="X11" t="s">
        <v>117</v>
      </c>
      <c r="Y11" t="s">
        <v>117</v>
      </c>
      <c r="AA11" t="s">
        <v>117</v>
      </c>
      <c r="AB11" t="s">
        <v>664</v>
      </c>
      <c r="AC11" t="s">
        <v>117</v>
      </c>
      <c r="AE11" s="23" t="str">
        <f t="shared" si="3"/>
        <v/>
      </c>
      <c r="AF11" s="24">
        <v>46197</v>
      </c>
      <c r="AG11" s="24"/>
      <c r="AH11" s="24"/>
      <c r="AI11" s="24"/>
      <c r="AJ11" s="24"/>
      <c r="AK11" s="24"/>
      <c r="AL11" s="24"/>
      <c r="AM11" s="24">
        <v>46197</v>
      </c>
      <c r="AN11" s="24"/>
      <c r="AO11" s="24"/>
      <c r="AP11" s="23" t="str">
        <f t="shared" si="4"/>
        <v/>
      </c>
      <c r="AQ11" s="24">
        <v>46237</v>
      </c>
      <c r="AR11" s="24"/>
      <c r="AS11" s="24"/>
      <c r="AT11" s="24"/>
      <c r="AU11" s="24"/>
      <c r="AV11" s="24"/>
      <c r="AW11" s="24"/>
      <c r="AX11" s="24">
        <v>46237</v>
      </c>
      <c r="AY11" s="24"/>
      <c r="AZ11" s="24"/>
      <c r="BA11" s="23" t="str">
        <f t="shared" si="5"/>
        <v/>
      </c>
      <c r="BB11" s="24"/>
      <c r="BC11" s="24"/>
      <c r="BD11" s="24"/>
      <c r="BE11" s="24"/>
      <c r="BF11" s="24"/>
      <c r="BG11" s="24"/>
      <c r="BH11" s="24"/>
      <c r="BI11" s="24"/>
      <c r="BJ11" s="24"/>
      <c r="BK11" s="24"/>
      <c r="BL11" s="23" t="str">
        <f t="shared" si="6"/>
        <v/>
      </c>
      <c r="BM11" s="24"/>
      <c r="BN11" s="24"/>
      <c r="BO11" s="24"/>
      <c r="BP11" s="24"/>
      <c r="BQ11" s="24"/>
      <c r="BR11" s="24"/>
      <c r="BS11" s="24"/>
      <c r="BT11" s="24"/>
      <c r="BU11" s="24"/>
      <c r="BV11" s="24"/>
      <c r="BW11" s="23" t="str">
        <f t="shared" si="7"/>
        <v/>
      </c>
      <c r="BX11" s="24"/>
      <c r="BY11" s="24"/>
      <c r="BZ11" s="24"/>
      <c r="CA11" s="24"/>
      <c r="CB11" s="24"/>
      <c r="CC11" s="24"/>
      <c r="CD11" s="24"/>
      <c r="CE11" s="24"/>
      <c r="CF11" s="24"/>
      <c r="CG11" s="24"/>
      <c r="CH11" s="23" t="str">
        <f t="shared" si="8"/>
        <v/>
      </c>
      <c r="CI11" s="24"/>
      <c r="CJ11" s="24"/>
      <c r="CK11" s="24"/>
      <c r="CL11" s="24"/>
      <c r="CM11" s="24"/>
      <c r="CN11" s="24"/>
      <c r="CO11" s="24"/>
      <c r="CP11" s="24"/>
      <c r="CQ11" s="24"/>
      <c r="CR11" s="24"/>
      <c r="CS11" s="23">
        <f t="shared" si="9"/>
        <v>46242</v>
      </c>
      <c r="CT11" s="24">
        <v>46242</v>
      </c>
      <c r="CU11" s="24"/>
      <c r="CV11" s="24"/>
      <c r="CW11" s="24"/>
      <c r="CX11" s="24"/>
      <c r="CY11" s="24"/>
      <c r="CZ11" s="24"/>
      <c r="DA11" s="24"/>
      <c r="DB11" s="24"/>
      <c r="DC11" s="24"/>
      <c r="DD11" s="23" t="str">
        <f t="shared" si="10"/>
        <v/>
      </c>
      <c r="DE11" s="24"/>
      <c r="DF11" s="24"/>
      <c r="DG11" s="24"/>
      <c r="DH11" s="24"/>
      <c r="DI11" s="24"/>
      <c r="DJ11" s="24"/>
      <c r="DK11" s="24"/>
      <c r="DL11" s="24"/>
      <c r="DM11" s="24"/>
      <c r="DN11" s="24"/>
      <c r="DO11" s="22" t="str">
        <f t="shared" si="11"/>
        <v/>
      </c>
      <c r="DR11" t="s">
        <v>117</v>
      </c>
      <c r="DZ11" s="23" t="str">
        <f t="shared" si="12"/>
        <v/>
      </c>
      <c r="EA11" s="24"/>
      <c r="EB11" s="24"/>
      <c r="EC11" s="24"/>
      <c r="ED11" s="24"/>
      <c r="EE11" s="24"/>
      <c r="EF11" s="24"/>
      <c r="EG11" s="24"/>
      <c r="EH11" s="24"/>
      <c r="EI11" s="24"/>
      <c r="EJ11" s="24"/>
      <c r="EK11" s="23" t="str">
        <f t="shared" si="13"/>
        <v/>
      </c>
      <c r="EL11" s="24"/>
      <c r="EM11" s="24"/>
      <c r="EN11" s="24"/>
      <c r="EO11" s="24"/>
      <c r="EP11" s="24"/>
      <c r="EQ11" s="24"/>
      <c r="ER11" s="24"/>
      <c r="ES11" s="24"/>
      <c r="ET11" s="24"/>
      <c r="EU11" s="24"/>
      <c r="EV11" s="23" t="str">
        <f t="shared" si="14"/>
        <v/>
      </c>
      <c r="EW11" s="24"/>
      <c r="EX11" s="24"/>
      <c r="EY11" s="24"/>
      <c r="EZ11" s="24"/>
      <c r="FA11" s="24"/>
      <c r="FB11" s="24"/>
      <c r="FC11" s="24"/>
      <c r="FD11" s="24"/>
      <c r="FE11" s="24"/>
      <c r="FF11" s="24"/>
      <c r="FG11" s="23" t="str">
        <f t="shared" si="15"/>
        <v/>
      </c>
      <c r="FH11" s="24"/>
      <c r="FI11" s="24"/>
      <c r="FJ11" s="24"/>
      <c r="FK11" s="24"/>
      <c r="FL11" s="24"/>
      <c r="FM11" s="24"/>
      <c r="FN11" s="24"/>
      <c r="FO11" s="24"/>
      <c r="FP11" s="24"/>
      <c r="FQ11" s="24"/>
    </row>
    <row r="12" spans="1:173" x14ac:dyDescent="0.25">
      <c r="A12">
        <v>4070</v>
      </c>
      <c r="B12" t="str">
        <f t="shared" si="0"/>
        <v>KOCU4758778|AMDM18855100</v>
      </c>
      <c r="C12" s="24">
        <v>46181.450752314813</v>
      </c>
      <c r="E12" t="s">
        <v>454</v>
      </c>
      <c r="F12" t="s">
        <v>434</v>
      </c>
      <c r="G12" t="s">
        <v>455</v>
      </c>
      <c r="H12" t="s">
        <v>456</v>
      </c>
      <c r="I12" s="22" t="str">
        <f t="shared" si="1"/>
        <v/>
      </c>
      <c r="J12" t="s">
        <v>456</v>
      </c>
      <c r="K12" t="s">
        <v>117</v>
      </c>
      <c r="L12" t="s">
        <v>117</v>
      </c>
      <c r="M12" t="s">
        <v>117</v>
      </c>
      <c r="N12" t="s">
        <v>117</v>
      </c>
      <c r="O12" t="s">
        <v>117</v>
      </c>
      <c r="P12" t="s">
        <v>117</v>
      </c>
      <c r="Q12" t="s">
        <v>117</v>
      </c>
      <c r="R12" t="s">
        <v>117</v>
      </c>
      <c r="S12" t="s">
        <v>117</v>
      </c>
      <c r="T12" s="22" t="str">
        <f t="shared" si="2"/>
        <v/>
      </c>
      <c r="U12" t="s">
        <v>457</v>
      </c>
      <c r="V12" t="s">
        <v>117</v>
      </c>
      <c r="X12" t="s">
        <v>117</v>
      </c>
      <c r="Y12" t="s">
        <v>117</v>
      </c>
      <c r="AA12" t="s">
        <v>117</v>
      </c>
      <c r="AB12" t="s">
        <v>117</v>
      </c>
      <c r="AC12" t="s">
        <v>117</v>
      </c>
      <c r="AE12" s="23" t="str">
        <f t="shared" si="3"/>
        <v/>
      </c>
      <c r="AF12" s="24">
        <v>46191</v>
      </c>
      <c r="AG12" s="24"/>
      <c r="AH12" s="24"/>
      <c r="AI12" s="24"/>
      <c r="AJ12" s="24"/>
      <c r="AK12" s="24"/>
      <c r="AL12" s="24"/>
      <c r="AM12" s="24"/>
      <c r="AN12" s="24"/>
      <c r="AO12" s="24"/>
      <c r="AP12" s="23" t="str">
        <f t="shared" si="4"/>
        <v/>
      </c>
      <c r="AQ12" s="24">
        <v>46224</v>
      </c>
      <c r="AR12" s="24"/>
      <c r="AS12" s="24"/>
      <c r="AT12" s="24"/>
      <c r="AU12" s="24"/>
      <c r="AV12" s="24"/>
      <c r="AW12" s="24"/>
      <c r="AX12" s="24"/>
      <c r="AY12" s="24"/>
      <c r="AZ12" s="24"/>
      <c r="BA12" s="23" t="str">
        <f t="shared" si="5"/>
        <v/>
      </c>
      <c r="BB12" s="24"/>
      <c r="BC12" s="24"/>
      <c r="BD12" s="24"/>
      <c r="BE12" s="24"/>
      <c r="BF12" s="24"/>
      <c r="BG12" s="24"/>
      <c r="BH12" s="24"/>
      <c r="BI12" s="24"/>
      <c r="BJ12" s="24"/>
      <c r="BK12" s="24"/>
      <c r="BL12" s="23" t="str">
        <f t="shared" si="6"/>
        <v/>
      </c>
      <c r="BM12" s="24"/>
      <c r="BN12" s="24"/>
      <c r="BO12" s="24"/>
      <c r="BP12" s="24"/>
      <c r="BQ12" s="24"/>
      <c r="BR12" s="24"/>
      <c r="BS12" s="24"/>
      <c r="BT12" s="24"/>
      <c r="BU12" s="24"/>
      <c r="BV12" s="24"/>
      <c r="BW12" s="23" t="str">
        <f t="shared" si="7"/>
        <v/>
      </c>
      <c r="BX12" s="24"/>
      <c r="BY12" s="24"/>
      <c r="BZ12" s="24"/>
      <c r="CA12" s="24"/>
      <c r="CB12" s="24"/>
      <c r="CC12" s="24"/>
      <c r="CD12" s="24"/>
      <c r="CE12" s="24"/>
      <c r="CF12" s="24"/>
      <c r="CG12" s="24"/>
      <c r="CH12" s="23" t="str">
        <f t="shared" si="8"/>
        <v/>
      </c>
      <c r="CI12" s="24"/>
      <c r="CJ12" s="24"/>
      <c r="CK12" s="24"/>
      <c r="CL12" s="24"/>
      <c r="CM12" s="24"/>
      <c r="CN12" s="24"/>
      <c r="CO12" s="24"/>
      <c r="CP12" s="24"/>
      <c r="CQ12" s="24"/>
      <c r="CR12" s="24"/>
      <c r="CS12" s="23">
        <f t="shared" si="9"/>
        <v>46240</v>
      </c>
      <c r="CT12" s="24">
        <v>46240</v>
      </c>
      <c r="CU12" s="24"/>
      <c r="CV12" s="24"/>
      <c r="CW12" s="24"/>
      <c r="CX12" s="24"/>
      <c r="CY12" s="24"/>
      <c r="CZ12" s="24"/>
      <c r="DA12" s="24"/>
      <c r="DB12" s="24"/>
      <c r="DC12" s="24"/>
      <c r="DD12" s="23" t="str">
        <f t="shared" si="10"/>
        <v/>
      </c>
      <c r="DE12" s="24"/>
      <c r="DF12" s="24"/>
      <c r="DG12" s="24"/>
      <c r="DH12" s="24"/>
      <c r="DI12" s="24"/>
      <c r="DJ12" s="24"/>
      <c r="DK12" s="24"/>
      <c r="DL12" s="24"/>
      <c r="DM12" s="24"/>
      <c r="DN12" s="24"/>
      <c r="DO12" s="22" t="str">
        <f t="shared" si="11"/>
        <v/>
      </c>
      <c r="DR12" t="s">
        <v>117</v>
      </c>
      <c r="DZ12" s="23" t="str">
        <f t="shared" si="12"/>
        <v/>
      </c>
      <c r="EA12" s="24"/>
      <c r="EB12" s="24"/>
      <c r="EC12" s="24"/>
      <c r="ED12" s="24"/>
      <c r="EE12" s="24"/>
      <c r="EF12" s="24"/>
      <c r="EG12" s="24"/>
      <c r="EH12" s="24"/>
      <c r="EI12" s="24"/>
      <c r="EJ12" s="24"/>
      <c r="EK12" s="23" t="str">
        <f t="shared" si="13"/>
        <v/>
      </c>
      <c r="EL12" s="24"/>
      <c r="EM12" s="24"/>
      <c r="EN12" s="24"/>
      <c r="EO12" s="24"/>
      <c r="EP12" s="24"/>
      <c r="EQ12" s="24"/>
      <c r="ER12" s="24"/>
      <c r="ES12" s="24"/>
      <c r="ET12" s="24"/>
      <c r="EU12" s="24"/>
      <c r="EV12" s="23" t="str">
        <f t="shared" si="14"/>
        <v/>
      </c>
      <c r="EW12" s="24"/>
      <c r="EX12" s="24"/>
      <c r="EY12" s="24"/>
      <c r="EZ12" s="24"/>
      <c r="FA12" s="24"/>
      <c r="FB12" s="24"/>
      <c r="FC12" s="24"/>
      <c r="FD12" s="24"/>
      <c r="FE12" s="24"/>
      <c r="FF12" s="24"/>
      <c r="FG12" s="23" t="str">
        <f t="shared" si="15"/>
        <v/>
      </c>
      <c r="FH12" s="24"/>
      <c r="FI12" s="24"/>
      <c r="FJ12" s="24"/>
      <c r="FK12" s="24"/>
      <c r="FL12" s="24"/>
      <c r="FM12" s="24"/>
      <c r="FN12" s="24"/>
      <c r="FO12" s="24"/>
      <c r="FP12" s="24"/>
      <c r="FQ12" s="24"/>
    </row>
    <row r="13" spans="1:173" x14ac:dyDescent="0.25">
      <c r="A13">
        <v>4078</v>
      </c>
      <c r="B13" t="str">
        <f t="shared" si="0"/>
        <v>HAMU1390715|HLCUBO1260694224</v>
      </c>
      <c r="C13" s="24">
        <v>46185.456087962964</v>
      </c>
      <c r="E13" t="s">
        <v>458</v>
      </c>
      <c r="F13" t="s">
        <v>434</v>
      </c>
      <c r="G13" t="s">
        <v>459</v>
      </c>
      <c r="H13" t="s">
        <v>460</v>
      </c>
      <c r="I13" s="22" t="str">
        <f t="shared" si="1"/>
        <v/>
      </c>
      <c r="J13" t="s">
        <v>460</v>
      </c>
      <c r="K13" t="s">
        <v>117</v>
      </c>
      <c r="L13" t="s">
        <v>117</v>
      </c>
      <c r="M13" t="s">
        <v>117</v>
      </c>
      <c r="N13" t="s">
        <v>117</v>
      </c>
      <c r="O13" t="s">
        <v>117</v>
      </c>
      <c r="P13" t="s">
        <v>117</v>
      </c>
      <c r="Q13" t="s">
        <v>117</v>
      </c>
      <c r="R13" t="s">
        <v>117</v>
      </c>
      <c r="S13" t="s">
        <v>117</v>
      </c>
      <c r="T13" s="22" t="str">
        <f t="shared" si="2"/>
        <v/>
      </c>
      <c r="U13" t="s">
        <v>425</v>
      </c>
      <c r="V13" t="s">
        <v>117</v>
      </c>
      <c r="X13" t="s">
        <v>117</v>
      </c>
      <c r="Y13" t="s">
        <v>117</v>
      </c>
      <c r="AA13" t="s">
        <v>117</v>
      </c>
      <c r="AB13" t="s">
        <v>117</v>
      </c>
      <c r="AC13" t="s">
        <v>117</v>
      </c>
      <c r="AE13" s="23" t="str">
        <f t="shared" si="3"/>
        <v/>
      </c>
      <c r="AF13" s="24">
        <v>46188</v>
      </c>
      <c r="AG13" s="24"/>
      <c r="AH13" s="24"/>
      <c r="AI13" s="24"/>
      <c r="AJ13" s="24"/>
      <c r="AK13" s="24"/>
      <c r="AL13" s="24"/>
      <c r="AM13" s="24"/>
      <c r="AN13" s="24"/>
      <c r="AO13" s="24"/>
      <c r="AP13" s="23" t="str">
        <f t="shared" si="4"/>
        <v/>
      </c>
      <c r="AQ13" s="24">
        <v>46227</v>
      </c>
      <c r="AR13" s="24"/>
      <c r="AS13" s="24"/>
      <c r="AT13" s="24"/>
      <c r="AU13" s="24"/>
      <c r="AV13" s="24"/>
      <c r="AW13" s="24"/>
      <c r="AX13" s="24"/>
      <c r="AY13" s="24"/>
      <c r="AZ13" s="24"/>
      <c r="BA13" s="23" t="str">
        <f t="shared" si="5"/>
        <v/>
      </c>
      <c r="BB13" s="24"/>
      <c r="BC13" s="24"/>
      <c r="BD13" s="24"/>
      <c r="BE13" s="24"/>
      <c r="BF13" s="24"/>
      <c r="BG13" s="24"/>
      <c r="BH13" s="24"/>
      <c r="BI13" s="24"/>
      <c r="BJ13" s="24"/>
      <c r="BK13" s="24"/>
      <c r="BL13" s="23" t="str">
        <f t="shared" si="6"/>
        <v/>
      </c>
      <c r="BM13" s="24"/>
      <c r="BN13" s="24"/>
      <c r="BO13" s="24"/>
      <c r="BP13" s="24"/>
      <c r="BQ13" s="24"/>
      <c r="BR13" s="24"/>
      <c r="BS13" s="24"/>
      <c r="BT13" s="24"/>
      <c r="BU13" s="24"/>
      <c r="BV13" s="24"/>
      <c r="BW13" s="23" t="str">
        <f t="shared" si="7"/>
        <v/>
      </c>
      <c r="BX13" s="24"/>
      <c r="BY13" s="24"/>
      <c r="BZ13" s="24"/>
      <c r="CA13" s="24"/>
      <c r="CB13" s="24"/>
      <c r="CC13" s="24"/>
      <c r="CD13" s="24"/>
      <c r="CE13" s="24"/>
      <c r="CF13" s="24"/>
      <c r="CG13" s="24"/>
      <c r="CH13" s="23" t="str">
        <f t="shared" si="8"/>
        <v/>
      </c>
      <c r="CI13" s="24"/>
      <c r="CJ13" s="24"/>
      <c r="CK13" s="24"/>
      <c r="CL13" s="24"/>
      <c r="CM13" s="24"/>
      <c r="CN13" s="24"/>
      <c r="CO13" s="24"/>
      <c r="CP13" s="24"/>
      <c r="CQ13" s="24"/>
      <c r="CR13" s="24"/>
      <c r="CS13" s="23">
        <f t="shared" si="9"/>
        <v>46242</v>
      </c>
      <c r="CT13" s="24">
        <v>46230</v>
      </c>
      <c r="CU13" s="24"/>
      <c r="CV13" s="24"/>
      <c r="CW13" s="24"/>
      <c r="CX13" s="24"/>
      <c r="CY13" s="24"/>
      <c r="CZ13" s="24"/>
      <c r="DA13" s="24"/>
      <c r="DB13" s="24"/>
      <c r="DC13" s="24"/>
      <c r="DD13" s="23" t="str">
        <f t="shared" si="10"/>
        <v/>
      </c>
      <c r="DE13" s="24"/>
      <c r="DF13" s="24"/>
      <c r="DG13" s="24"/>
      <c r="DH13" s="24"/>
      <c r="DI13" s="24"/>
      <c r="DJ13" s="24"/>
      <c r="DK13" s="24"/>
      <c r="DL13" s="24"/>
      <c r="DM13" s="24"/>
      <c r="DN13" s="24"/>
      <c r="DO13" s="22" t="str">
        <f t="shared" si="11"/>
        <v/>
      </c>
      <c r="DR13" t="s">
        <v>117</v>
      </c>
      <c r="DZ13" s="23" t="str">
        <f t="shared" si="12"/>
        <v/>
      </c>
      <c r="EA13" s="24"/>
      <c r="EB13" s="24"/>
      <c r="EC13" s="24"/>
      <c r="ED13" s="24"/>
      <c r="EE13" s="24"/>
      <c r="EF13" s="24"/>
      <c r="EG13" s="24"/>
      <c r="EH13" s="24"/>
      <c r="EI13" s="24"/>
      <c r="EJ13" s="24"/>
      <c r="EK13" s="23" t="str">
        <f t="shared" si="13"/>
        <v/>
      </c>
      <c r="EL13" s="24"/>
      <c r="EM13" s="24"/>
      <c r="EN13" s="24"/>
      <c r="EO13" s="24"/>
      <c r="EP13" s="24"/>
      <c r="EQ13" s="24"/>
      <c r="ER13" s="24"/>
      <c r="ES13" s="24"/>
      <c r="ET13" s="24"/>
      <c r="EU13" s="24"/>
      <c r="EV13" s="23" t="str">
        <f t="shared" si="14"/>
        <v/>
      </c>
      <c r="EW13" s="24"/>
      <c r="EX13" s="24"/>
      <c r="EY13" s="24"/>
      <c r="EZ13" s="24"/>
      <c r="FA13" s="24"/>
      <c r="FB13" s="24"/>
      <c r="FC13" s="24"/>
      <c r="FD13" s="24"/>
      <c r="FE13" s="24"/>
      <c r="FF13" s="24"/>
      <c r="FG13" s="23" t="str">
        <f t="shared" si="15"/>
        <v/>
      </c>
      <c r="FH13" s="24"/>
      <c r="FI13" s="24"/>
      <c r="FJ13" s="24"/>
      <c r="FK13" s="24"/>
      <c r="FL13" s="24"/>
      <c r="FM13" s="24"/>
      <c r="FN13" s="24"/>
      <c r="FO13" s="24"/>
      <c r="FP13" s="24"/>
      <c r="FQ13" s="24"/>
    </row>
    <row r="14" spans="1:173" x14ac:dyDescent="0.25">
      <c r="A14">
        <v>4079</v>
      </c>
      <c r="B14" t="str">
        <f t="shared" si="0"/>
        <v>MSNU5738002|177OLLLLA15699V</v>
      </c>
      <c r="C14" s="24">
        <v>46188.281805555554</v>
      </c>
      <c r="E14" t="s">
        <v>461</v>
      </c>
      <c r="G14" t="s">
        <v>462</v>
      </c>
      <c r="H14" t="s">
        <v>463</v>
      </c>
      <c r="I14" s="22" t="str">
        <f t="shared" si="1"/>
        <v/>
      </c>
      <c r="K14" t="s">
        <v>117</v>
      </c>
      <c r="L14" t="s">
        <v>117</v>
      </c>
      <c r="M14" t="s">
        <v>117</v>
      </c>
      <c r="N14" t="s">
        <v>117</v>
      </c>
      <c r="O14" t="s">
        <v>117</v>
      </c>
      <c r="P14" t="s">
        <v>117</v>
      </c>
      <c r="Q14" t="s">
        <v>117</v>
      </c>
      <c r="R14" t="s">
        <v>117</v>
      </c>
      <c r="S14" t="s">
        <v>117</v>
      </c>
      <c r="T14" s="22" t="str">
        <f t="shared" si="2"/>
        <v/>
      </c>
      <c r="U14" t="s">
        <v>464</v>
      </c>
      <c r="V14" t="s">
        <v>117</v>
      </c>
      <c r="X14" t="s">
        <v>117</v>
      </c>
      <c r="Y14" t="s">
        <v>117</v>
      </c>
      <c r="AA14" t="s">
        <v>117</v>
      </c>
      <c r="AB14" t="s">
        <v>117</v>
      </c>
      <c r="AC14" t="s">
        <v>117</v>
      </c>
      <c r="AE14" s="23" t="str">
        <f t="shared" si="3"/>
        <v/>
      </c>
      <c r="AF14" s="24">
        <v>46193</v>
      </c>
      <c r="AG14" s="24"/>
      <c r="AH14" s="24"/>
      <c r="AI14" s="24"/>
      <c r="AJ14" s="24"/>
      <c r="AK14" s="24"/>
      <c r="AL14" s="24"/>
      <c r="AM14" s="24"/>
      <c r="AN14" s="24"/>
      <c r="AO14" s="24"/>
      <c r="AP14" s="23" t="str">
        <f t="shared" si="4"/>
        <v/>
      </c>
      <c r="AQ14" s="24">
        <v>46234</v>
      </c>
      <c r="AR14" s="24"/>
      <c r="AS14" s="24"/>
      <c r="AT14" s="24"/>
      <c r="AU14" s="24"/>
      <c r="AV14" s="24"/>
      <c r="AW14" s="24"/>
      <c r="AX14" s="24"/>
      <c r="AY14" s="24"/>
      <c r="AZ14" s="24"/>
      <c r="BA14" s="23" t="str">
        <f t="shared" si="5"/>
        <v/>
      </c>
      <c r="BB14" s="24"/>
      <c r="BC14" s="24"/>
      <c r="BD14" s="24"/>
      <c r="BE14" s="24"/>
      <c r="BF14" s="24"/>
      <c r="BG14" s="24"/>
      <c r="BH14" s="24"/>
      <c r="BI14" s="24"/>
      <c r="BJ14" s="24"/>
      <c r="BK14" s="24"/>
      <c r="BL14" s="23" t="str">
        <f t="shared" si="6"/>
        <v/>
      </c>
      <c r="BM14" s="24"/>
      <c r="BN14" s="24"/>
      <c r="BO14" s="24"/>
      <c r="BP14" s="24"/>
      <c r="BQ14" s="24"/>
      <c r="BR14" s="24"/>
      <c r="BS14" s="24"/>
      <c r="BT14" s="24"/>
      <c r="BU14" s="24"/>
      <c r="BV14" s="24"/>
      <c r="BW14" s="23" t="str">
        <f t="shared" si="7"/>
        <v/>
      </c>
      <c r="BX14" s="24"/>
      <c r="BY14" s="24"/>
      <c r="BZ14" s="24"/>
      <c r="CA14" s="24"/>
      <c r="CB14" s="24"/>
      <c r="CC14" s="24"/>
      <c r="CD14" s="24"/>
      <c r="CE14" s="24"/>
      <c r="CF14" s="24"/>
      <c r="CG14" s="24"/>
      <c r="CH14" s="23" t="str">
        <f t="shared" si="8"/>
        <v/>
      </c>
      <c r="CI14" s="24"/>
      <c r="CJ14" s="24"/>
      <c r="CK14" s="24"/>
      <c r="CL14" s="24"/>
      <c r="CM14" s="24"/>
      <c r="CN14" s="24"/>
      <c r="CO14" s="24"/>
      <c r="CP14" s="24"/>
      <c r="CQ14" s="24"/>
      <c r="CR14" s="24"/>
      <c r="CS14" s="23">
        <f t="shared" si="9"/>
        <v>46239</v>
      </c>
      <c r="CT14" s="24">
        <v>46239</v>
      </c>
      <c r="CU14" s="24"/>
      <c r="CV14" s="24"/>
      <c r="CW14" s="24"/>
      <c r="CX14" s="24"/>
      <c r="CY14" s="24"/>
      <c r="CZ14" s="24"/>
      <c r="DA14" s="24"/>
      <c r="DB14" s="24"/>
      <c r="DC14" s="24"/>
      <c r="DD14" s="23" t="str">
        <f t="shared" si="10"/>
        <v/>
      </c>
      <c r="DE14" s="24"/>
      <c r="DF14" s="24"/>
      <c r="DG14" s="24"/>
      <c r="DH14" s="24"/>
      <c r="DI14" s="24"/>
      <c r="DJ14" s="24"/>
      <c r="DK14" s="24"/>
      <c r="DL14" s="24"/>
      <c r="DM14" s="24"/>
      <c r="DN14" s="24"/>
      <c r="DO14" s="22" t="str">
        <f t="shared" si="11"/>
        <v/>
      </c>
      <c r="DR14" t="s">
        <v>117</v>
      </c>
      <c r="DZ14" s="23" t="str">
        <f t="shared" si="12"/>
        <v/>
      </c>
      <c r="EA14" s="24"/>
      <c r="EB14" s="24"/>
      <c r="EC14" s="24"/>
      <c r="ED14" s="24"/>
      <c r="EE14" s="24"/>
      <c r="EF14" s="24"/>
      <c r="EG14" s="24"/>
      <c r="EH14" s="24"/>
      <c r="EI14" s="24"/>
      <c r="EJ14" s="24"/>
      <c r="EK14" s="23" t="str">
        <f t="shared" si="13"/>
        <v/>
      </c>
      <c r="EL14" s="24"/>
      <c r="EM14" s="24"/>
      <c r="EN14" s="24"/>
      <c r="EO14" s="24"/>
      <c r="EP14" s="24"/>
      <c r="EQ14" s="24"/>
      <c r="ER14" s="24"/>
      <c r="ES14" s="24"/>
      <c r="ET14" s="24"/>
      <c r="EU14" s="24"/>
      <c r="EV14" s="23" t="str">
        <f t="shared" si="14"/>
        <v/>
      </c>
      <c r="EW14" s="24"/>
      <c r="EX14" s="24"/>
      <c r="EY14" s="24"/>
      <c r="EZ14" s="24"/>
      <c r="FA14" s="24"/>
      <c r="FB14" s="24"/>
      <c r="FC14" s="24"/>
      <c r="FD14" s="24"/>
      <c r="FE14" s="24"/>
      <c r="FF14" s="24"/>
      <c r="FG14" s="23" t="str">
        <f t="shared" si="15"/>
        <v/>
      </c>
      <c r="FH14" s="24"/>
      <c r="FI14" s="24"/>
      <c r="FJ14" s="24"/>
      <c r="FK14" s="24"/>
      <c r="FL14" s="24"/>
      <c r="FM14" s="24"/>
      <c r="FN14" s="24"/>
      <c r="FO14" s="24"/>
      <c r="FP14" s="24"/>
      <c r="FQ14" s="24"/>
    </row>
    <row r="15" spans="1:173" x14ac:dyDescent="0.25">
      <c r="A15">
        <v>4089</v>
      </c>
      <c r="B15" t="str">
        <f t="shared" si="0"/>
        <v>WHSU8402229|WHLC035GX38119</v>
      </c>
      <c r="C15" s="24">
        <v>46191.305046296293</v>
      </c>
      <c r="E15" t="s">
        <v>465</v>
      </c>
      <c r="F15" t="s">
        <v>434</v>
      </c>
      <c r="G15" t="s">
        <v>466</v>
      </c>
      <c r="H15" t="s">
        <v>467</v>
      </c>
      <c r="I15" s="22" t="str">
        <f t="shared" si="1"/>
        <v/>
      </c>
      <c r="J15" t="s">
        <v>467</v>
      </c>
      <c r="K15" t="s">
        <v>467</v>
      </c>
      <c r="L15" t="s">
        <v>117</v>
      </c>
      <c r="M15" t="s">
        <v>117</v>
      </c>
      <c r="N15" t="s">
        <v>467</v>
      </c>
      <c r="O15" t="s">
        <v>117</v>
      </c>
      <c r="P15" t="s">
        <v>117</v>
      </c>
      <c r="Q15" t="s">
        <v>467</v>
      </c>
      <c r="R15" t="s">
        <v>467</v>
      </c>
      <c r="S15" t="s">
        <v>117</v>
      </c>
      <c r="T15" s="22" t="str">
        <f t="shared" si="2"/>
        <v/>
      </c>
      <c r="U15" t="s">
        <v>468</v>
      </c>
      <c r="V15" t="s">
        <v>468</v>
      </c>
      <c r="X15" t="s">
        <v>117</v>
      </c>
      <c r="Y15" t="s">
        <v>468</v>
      </c>
      <c r="AA15" t="s">
        <v>117</v>
      </c>
      <c r="AB15" t="s">
        <v>656</v>
      </c>
      <c r="AC15" t="s">
        <v>656</v>
      </c>
      <c r="AE15" s="23" t="str">
        <f t="shared" si="3"/>
        <v/>
      </c>
      <c r="AF15" s="24">
        <v>46195</v>
      </c>
      <c r="AG15" s="24">
        <v>46195</v>
      </c>
      <c r="AH15" s="24"/>
      <c r="AI15" s="24"/>
      <c r="AJ15" s="24">
        <v>46219.386805555558</v>
      </c>
      <c r="AK15" s="24"/>
      <c r="AL15" s="24"/>
      <c r="AM15" s="24">
        <v>46195</v>
      </c>
      <c r="AN15" s="24">
        <v>46195</v>
      </c>
      <c r="AO15" s="24"/>
      <c r="AP15" s="23" t="str">
        <f t="shared" si="4"/>
        <v/>
      </c>
      <c r="AQ15" s="24">
        <v>46233</v>
      </c>
      <c r="AR15" s="24">
        <v>46233</v>
      </c>
      <c r="AS15" s="24"/>
      <c r="AT15" s="24"/>
      <c r="AU15" s="24">
        <v>46233.625</v>
      </c>
      <c r="AV15" s="24"/>
      <c r="AW15" s="24"/>
      <c r="AX15" s="24">
        <v>46233</v>
      </c>
      <c r="AY15" s="24">
        <v>46233</v>
      </c>
      <c r="AZ15" s="24"/>
      <c r="BA15" s="23" t="str">
        <f t="shared" si="5"/>
        <v/>
      </c>
      <c r="BB15" s="24"/>
      <c r="BC15" s="24"/>
      <c r="BD15" s="24"/>
      <c r="BE15" s="24"/>
      <c r="BF15" s="24"/>
      <c r="BG15" s="24"/>
      <c r="BH15" s="24"/>
      <c r="BI15" s="24"/>
      <c r="BJ15" s="24"/>
      <c r="BK15" s="24"/>
      <c r="BL15" s="23" t="str">
        <f t="shared" si="6"/>
        <v/>
      </c>
      <c r="BM15" s="24">
        <v>46233</v>
      </c>
      <c r="BN15" s="24">
        <v>46233</v>
      </c>
      <c r="BO15" s="24"/>
      <c r="BP15" s="24"/>
      <c r="BQ15" s="24"/>
      <c r="BR15" s="24"/>
      <c r="BS15" s="24"/>
      <c r="BT15" s="24"/>
      <c r="BU15" s="24">
        <v>46233</v>
      </c>
      <c r="BV15" s="24"/>
      <c r="BW15" s="23" t="str">
        <f t="shared" si="7"/>
        <v/>
      </c>
      <c r="BX15" s="24"/>
      <c r="BY15" s="24"/>
      <c r="BZ15" s="24"/>
      <c r="CA15" s="24"/>
      <c r="CB15" s="24"/>
      <c r="CC15" s="24"/>
      <c r="CD15" s="24"/>
      <c r="CE15" s="24"/>
      <c r="CF15" s="24"/>
      <c r="CG15" s="24"/>
      <c r="CH15" s="23" t="str">
        <f t="shared" si="8"/>
        <v/>
      </c>
      <c r="CI15" s="24"/>
      <c r="CJ15" s="24"/>
      <c r="CK15" s="24"/>
      <c r="CL15" s="24"/>
      <c r="CM15" s="24"/>
      <c r="CN15" s="24"/>
      <c r="CO15" s="24"/>
      <c r="CP15" s="24"/>
      <c r="CQ15" s="24"/>
      <c r="CR15" s="24"/>
      <c r="CS15" s="23">
        <f t="shared" si="9"/>
        <v>46238</v>
      </c>
      <c r="CT15" s="24">
        <v>46238</v>
      </c>
      <c r="CU15" s="24">
        <v>46238</v>
      </c>
      <c r="CV15" s="24"/>
      <c r="CW15" s="24"/>
      <c r="CX15" s="24"/>
      <c r="CY15" s="24"/>
      <c r="CZ15" s="24"/>
      <c r="DA15" s="24"/>
      <c r="DB15" s="24"/>
      <c r="DC15" s="24"/>
      <c r="DD15" s="23" t="str">
        <f t="shared" si="10"/>
        <v/>
      </c>
      <c r="DE15" s="24"/>
      <c r="DF15" s="24"/>
      <c r="DG15" s="24"/>
      <c r="DH15" s="24"/>
      <c r="DI15" s="24"/>
      <c r="DJ15" s="24"/>
      <c r="DK15" s="24"/>
      <c r="DL15" s="24"/>
      <c r="DM15" s="24"/>
      <c r="DN15" s="24"/>
      <c r="DO15" s="22" t="str">
        <f t="shared" si="11"/>
        <v/>
      </c>
      <c r="DR15" t="s">
        <v>117</v>
      </c>
      <c r="DZ15" s="23" t="str">
        <f t="shared" si="12"/>
        <v/>
      </c>
      <c r="EA15" s="24"/>
      <c r="EB15" s="24"/>
      <c r="EC15" s="24"/>
      <c r="ED15" s="24"/>
      <c r="EE15" s="24"/>
      <c r="EF15" s="24"/>
      <c r="EG15" s="24"/>
      <c r="EH15" s="24"/>
      <c r="EI15" s="24"/>
      <c r="EJ15" s="24"/>
      <c r="EK15" s="23" t="str">
        <f t="shared" si="13"/>
        <v/>
      </c>
      <c r="EL15" s="24"/>
      <c r="EM15" s="24"/>
      <c r="EN15" s="24"/>
      <c r="EO15" s="24"/>
      <c r="EP15" s="24"/>
      <c r="EQ15" s="24"/>
      <c r="ER15" s="24"/>
      <c r="ES15" s="24"/>
      <c r="ET15" s="24"/>
      <c r="EU15" s="24"/>
      <c r="EV15" s="23" t="str">
        <f t="shared" si="14"/>
        <v/>
      </c>
      <c r="EW15" s="24"/>
      <c r="EX15" s="24"/>
      <c r="EY15" s="24"/>
      <c r="EZ15" s="24"/>
      <c r="FA15" s="24"/>
      <c r="FB15" s="24"/>
      <c r="FC15" s="24"/>
      <c r="FD15" s="24"/>
      <c r="FE15" s="24"/>
      <c r="FF15" s="24"/>
      <c r="FG15" s="23" t="str">
        <f t="shared" si="15"/>
        <v/>
      </c>
      <c r="FH15" s="24"/>
      <c r="FI15" s="24"/>
      <c r="FJ15" s="24"/>
      <c r="FK15" s="24"/>
      <c r="FL15" s="24"/>
      <c r="FM15" s="24"/>
      <c r="FN15" s="24"/>
      <c r="FO15" s="24"/>
      <c r="FP15" s="24"/>
      <c r="FQ15" s="24"/>
    </row>
    <row r="16" spans="1:173" x14ac:dyDescent="0.25">
      <c r="A16">
        <v>4091</v>
      </c>
      <c r="B16" t="str">
        <f t="shared" si="0"/>
        <v>RFCU4088720|HLCUBO1260694320</v>
      </c>
      <c r="C16" s="24">
        <v>46195.289097222223</v>
      </c>
      <c r="E16" t="s">
        <v>469</v>
      </c>
      <c r="F16" t="s">
        <v>434</v>
      </c>
      <c r="G16" t="s">
        <v>470</v>
      </c>
      <c r="H16" t="s">
        <v>471</v>
      </c>
      <c r="I16" s="22" t="str">
        <f t="shared" si="1"/>
        <v/>
      </c>
      <c r="J16" t="s">
        <v>471</v>
      </c>
      <c r="K16" t="s">
        <v>117</v>
      </c>
      <c r="L16" t="s">
        <v>117</v>
      </c>
      <c r="M16" t="s">
        <v>117</v>
      </c>
      <c r="N16" t="s">
        <v>117</v>
      </c>
      <c r="O16" t="s">
        <v>117</v>
      </c>
      <c r="P16" t="s">
        <v>117</v>
      </c>
      <c r="Q16" t="s">
        <v>471</v>
      </c>
      <c r="R16" t="s">
        <v>117</v>
      </c>
      <c r="S16" t="s">
        <v>117</v>
      </c>
      <c r="T16" s="22" t="str">
        <f t="shared" si="2"/>
        <v/>
      </c>
      <c r="U16" t="s">
        <v>472</v>
      </c>
      <c r="V16" t="s">
        <v>117</v>
      </c>
      <c r="X16" t="s">
        <v>117</v>
      </c>
      <c r="Y16" t="s">
        <v>117</v>
      </c>
      <c r="AA16" t="s">
        <v>117</v>
      </c>
      <c r="AB16" t="s">
        <v>472</v>
      </c>
      <c r="AC16" t="s">
        <v>117</v>
      </c>
      <c r="AE16" s="23" t="str">
        <f t="shared" si="3"/>
        <v/>
      </c>
      <c r="AF16" s="24">
        <v>46194</v>
      </c>
      <c r="AG16" s="24"/>
      <c r="AH16" s="24"/>
      <c r="AI16" s="24"/>
      <c r="AJ16" s="24"/>
      <c r="AK16" s="24"/>
      <c r="AL16" s="24"/>
      <c r="AM16" s="24">
        <v>46194</v>
      </c>
      <c r="AN16" s="24"/>
      <c r="AO16" s="24"/>
      <c r="AP16" s="23" t="str">
        <f t="shared" si="4"/>
        <v/>
      </c>
      <c r="AQ16" s="24">
        <v>46231</v>
      </c>
      <c r="AR16" s="24"/>
      <c r="AS16" s="24"/>
      <c r="AT16" s="24"/>
      <c r="AU16" s="24"/>
      <c r="AV16" s="24"/>
      <c r="AW16" s="24"/>
      <c r="AX16" s="24">
        <v>46231</v>
      </c>
      <c r="AY16" s="24"/>
      <c r="AZ16" s="24"/>
      <c r="BA16" s="23">
        <f t="shared" si="5"/>
        <v>46231</v>
      </c>
      <c r="BB16" s="24"/>
      <c r="BC16" s="24"/>
      <c r="BD16" s="24"/>
      <c r="BE16" s="24"/>
      <c r="BF16" s="24"/>
      <c r="BG16" s="24"/>
      <c r="BH16" s="24"/>
      <c r="BI16" s="24">
        <v>46231</v>
      </c>
      <c r="BJ16" s="24"/>
      <c r="BK16" s="24"/>
      <c r="BL16" s="23" t="str">
        <f t="shared" si="6"/>
        <v/>
      </c>
      <c r="BM16" s="24"/>
      <c r="BN16" s="24"/>
      <c r="BO16" s="24"/>
      <c r="BP16" s="24"/>
      <c r="BQ16" s="24"/>
      <c r="BR16" s="24"/>
      <c r="BS16" s="24"/>
      <c r="BT16" s="24"/>
      <c r="BU16" s="24"/>
      <c r="BV16" s="24"/>
      <c r="BW16" s="23" t="str">
        <f t="shared" si="7"/>
        <v/>
      </c>
      <c r="BX16" s="24"/>
      <c r="BY16" s="24"/>
      <c r="BZ16" s="24"/>
      <c r="CA16" s="24"/>
      <c r="CB16" s="24"/>
      <c r="CC16" s="24"/>
      <c r="CD16" s="24"/>
      <c r="CE16" s="24"/>
      <c r="CF16" s="24"/>
      <c r="CG16" s="24"/>
      <c r="CH16" s="23" t="str">
        <f t="shared" si="8"/>
        <v/>
      </c>
      <c r="CI16" s="24"/>
      <c r="CJ16" s="24"/>
      <c r="CK16" s="24"/>
      <c r="CL16" s="24"/>
      <c r="CM16" s="24"/>
      <c r="CN16" s="24"/>
      <c r="CO16" s="24"/>
      <c r="CP16" s="24"/>
      <c r="CQ16" s="24"/>
      <c r="CR16" s="24"/>
      <c r="CS16" s="23">
        <f t="shared" si="9"/>
        <v>46242</v>
      </c>
      <c r="CT16" s="24">
        <v>46242</v>
      </c>
      <c r="CU16" s="24"/>
      <c r="CV16" s="24"/>
      <c r="CW16" s="24"/>
      <c r="CX16" s="24"/>
      <c r="CY16" s="24"/>
      <c r="CZ16" s="24"/>
      <c r="DA16" s="24"/>
      <c r="DB16" s="24"/>
      <c r="DC16" s="24"/>
      <c r="DD16" s="23" t="str">
        <f t="shared" si="10"/>
        <v/>
      </c>
      <c r="DE16" s="24"/>
      <c r="DF16" s="24"/>
      <c r="DG16" s="24"/>
      <c r="DH16" s="24"/>
      <c r="DI16" s="24"/>
      <c r="DJ16" s="24"/>
      <c r="DK16" s="24"/>
      <c r="DL16" s="24"/>
      <c r="DM16" s="24"/>
      <c r="DN16" s="24"/>
      <c r="DO16" s="22" t="str">
        <f t="shared" si="11"/>
        <v/>
      </c>
      <c r="DR16" t="s">
        <v>117</v>
      </c>
      <c r="DZ16" s="23" t="str">
        <f t="shared" si="12"/>
        <v/>
      </c>
      <c r="EA16" s="24"/>
      <c r="EB16" s="24"/>
      <c r="EC16" s="24"/>
      <c r="ED16" s="24"/>
      <c r="EE16" s="24"/>
      <c r="EF16" s="24"/>
      <c r="EG16" s="24"/>
      <c r="EH16" s="24"/>
      <c r="EI16" s="24"/>
      <c r="EJ16" s="24"/>
      <c r="EK16" s="23" t="str">
        <f t="shared" si="13"/>
        <v/>
      </c>
      <c r="EL16" s="24"/>
      <c r="EM16" s="24"/>
      <c r="EN16" s="24"/>
      <c r="EO16" s="24"/>
      <c r="EP16" s="24"/>
      <c r="EQ16" s="24"/>
      <c r="ER16" s="24"/>
      <c r="ES16" s="24"/>
      <c r="ET16" s="24"/>
      <c r="EU16" s="24"/>
      <c r="EV16" s="23" t="str">
        <f t="shared" si="14"/>
        <v/>
      </c>
      <c r="EW16" s="24"/>
      <c r="EX16" s="24"/>
      <c r="EY16" s="24"/>
      <c r="EZ16" s="24"/>
      <c r="FA16" s="24"/>
      <c r="FB16" s="24"/>
      <c r="FC16" s="24"/>
      <c r="FD16" s="24"/>
      <c r="FE16" s="24"/>
      <c r="FF16" s="24"/>
      <c r="FG16" s="23" t="str">
        <f t="shared" si="15"/>
        <v/>
      </c>
      <c r="FH16" s="24"/>
      <c r="FI16" s="24"/>
      <c r="FJ16" s="24"/>
      <c r="FK16" s="24"/>
      <c r="FL16" s="24"/>
      <c r="FM16" s="24"/>
      <c r="FN16" s="24"/>
      <c r="FO16" s="24"/>
      <c r="FP16" s="24"/>
      <c r="FQ16" s="24"/>
    </row>
    <row r="17" spans="1:173" x14ac:dyDescent="0.25">
      <c r="A17">
        <v>4096</v>
      </c>
      <c r="B17" t="str">
        <f t="shared" si="0"/>
        <v>HAMU3872228|HLCUBO12606BCRQ9</v>
      </c>
      <c r="C17" s="24">
        <v>46196.27820601852</v>
      </c>
      <c r="E17" t="s">
        <v>473</v>
      </c>
      <c r="F17" t="s">
        <v>434</v>
      </c>
      <c r="G17" t="s">
        <v>474</v>
      </c>
      <c r="H17" t="s">
        <v>475</v>
      </c>
      <c r="I17" s="22" t="str">
        <f t="shared" si="1"/>
        <v/>
      </c>
      <c r="J17" t="s">
        <v>475</v>
      </c>
      <c r="K17" t="s">
        <v>117</v>
      </c>
      <c r="L17" t="s">
        <v>117</v>
      </c>
      <c r="M17" t="s">
        <v>117</v>
      </c>
      <c r="N17" t="s">
        <v>117</v>
      </c>
      <c r="O17" t="s">
        <v>117</v>
      </c>
      <c r="P17" t="s">
        <v>117</v>
      </c>
      <c r="Q17" t="s">
        <v>117</v>
      </c>
      <c r="R17" t="s">
        <v>475</v>
      </c>
      <c r="S17" t="s">
        <v>117</v>
      </c>
      <c r="T17" s="22" t="str">
        <f t="shared" si="2"/>
        <v/>
      </c>
      <c r="U17" t="s">
        <v>476</v>
      </c>
      <c r="V17" t="s">
        <v>117</v>
      </c>
      <c r="X17" t="s">
        <v>117</v>
      </c>
      <c r="Y17" t="s">
        <v>117</v>
      </c>
      <c r="AA17" t="s">
        <v>117</v>
      </c>
      <c r="AB17" t="s">
        <v>117</v>
      </c>
      <c r="AC17" t="s">
        <v>666</v>
      </c>
      <c r="AE17" s="23" t="str">
        <f t="shared" si="3"/>
        <v/>
      </c>
      <c r="AF17" s="24">
        <v>46203</v>
      </c>
      <c r="AG17" s="24"/>
      <c r="AH17" s="24"/>
      <c r="AI17" s="24"/>
      <c r="AJ17" s="24"/>
      <c r="AK17" s="24"/>
      <c r="AL17" s="24"/>
      <c r="AM17" s="24"/>
      <c r="AN17" s="24">
        <v>46203</v>
      </c>
      <c r="AO17" s="24"/>
      <c r="AP17" s="23" t="str">
        <f t="shared" si="4"/>
        <v/>
      </c>
      <c r="AQ17" s="24">
        <v>46263</v>
      </c>
      <c r="AR17" s="24"/>
      <c r="AS17" s="24"/>
      <c r="AT17" s="24"/>
      <c r="AU17" s="24"/>
      <c r="AV17" s="24"/>
      <c r="AW17" s="24"/>
      <c r="AX17" s="24"/>
      <c r="AY17" s="24">
        <v>46256</v>
      </c>
      <c r="AZ17" s="24"/>
      <c r="BA17" s="23" t="str">
        <f t="shared" si="5"/>
        <v/>
      </c>
      <c r="BB17" s="24"/>
      <c r="BC17" s="24"/>
      <c r="BD17" s="24"/>
      <c r="BE17" s="24"/>
      <c r="BF17" s="24"/>
      <c r="BG17" s="24"/>
      <c r="BH17" s="24"/>
      <c r="BI17" s="24"/>
      <c r="BJ17" s="24"/>
      <c r="BK17" s="24"/>
      <c r="BL17" s="23" t="str">
        <f t="shared" si="6"/>
        <v/>
      </c>
      <c r="BM17" s="24">
        <v>46265</v>
      </c>
      <c r="BN17" s="24"/>
      <c r="BO17" s="24"/>
      <c r="BP17" s="24"/>
      <c r="BQ17" s="24"/>
      <c r="BR17" s="24"/>
      <c r="BS17" s="24"/>
      <c r="BT17" s="24"/>
      <c r="BU17" s="24">
        <v>46265</v>
      </c>
      <c r="BV17" s="24"/>
      <c r="BW17" s="23" t="str">
        <f t="shared" si="7"/>
        <v/>
      </c>
      <c r="BX17" s="24"/>
      <c r="BY17" s="24"/>
      <c r="BZ17" s="24"/>
      <c r="CA17" s="24"/>
      <c r="CB17" s="24"/>
      <c r="CC17" s="24"/>
      <c r="CD17" s="24"/>
      <c r="CE17" s="24"/>
      <c r="CF17" s="24"/>
      <c r="CG17" s="24"/>
      <c r="CH17" s="23" t="str">
        <f t="shared" si="8"/>
        <v/>
      </c>
      <c r="CI17" s="24"/>
      <c r="CJ17" s="24"/>
      <c r="CK17" s="24"/>
      <c r="CL17" s="24"/>
      <c r="CM17" s="24"/>
      <c r="CN17" s="24"/>
      <c r="CO17" s="24"/>
      <c r="CP17" s="24"/>
      <c r="CQ17" s="24"/>
      <c r="CR17" s="24"/>
      <c r="CS17" s="23">
        <f t="shared" si="9"/>
        <v>46268</v>
      </c>
      <c r="CT17" s="24">
        <v>46268</v>
      </c>
      <c r="CU17" s="24"/>
      <c r="CV17" s="24"/>
      <c r="CW17" s="24"/>
      <c r="CX17" s="24"/>
      <c r="CY17" s="24"/>
      <c r="CZ17" s="24"/>
      <c r="DA17" s="24"/>
      <c r="DB17" s="24"/>
      <c r="DC17" s="24"/>
      <c r="DD17" s="23" t="str">
        <f t="shared" si="10"/>
        <v/>
      </c>
      <c r="DE17" s="24"/>
      <c r="DF17" s="24"/>
      <c r="DG17" s="24"/>
      <c r="DH17" s="24"/>
      <c r="DI17" s="24"/>
      <c r="DJ17" s="24"/>
      <c r="DK17" s="24"/>
      <c r="DL17" s="24"/>
      <c r="DM17" s="24"/>
      <c r="DN17" s="24"/>
      <c r="DO17" s="22" t="str">
        <f t="shared" si="11"/>
        <v/>
      </c>
      <c r="DR17" t="s">
        <v>117</v>
      </c>
      <c r="DZ17" s="23" t="str">
        <f t="shared" si="12"/>
        <v/>
      </c>
      <c r="EA17" s="24"/>
      <c r="EB17" s="24"/>
      <c r="EC17" s="24"/>
      <c r="ED17" s="24"/>
      <c r="EE17" s="24"/>
      <c r="EF17" s="24"/>
      <c r="EG17" s="24"/>
      <c r="EH17" s="24"/>
      <c r="EI17" s="24"/>
      <c r="EJ17" s="24"/>
      <c r="EK17" s="23" t="str">
        <f t="shared" si="13"/>
        <v/>
      </c>
      <c r="EL17" s="24"/>
      <c r="EM17" s="24"/>
      <c r="EN17" s="24"/>
      <c r="EO17" s="24"/>
      <c r="EP17" s="24"/>
      <c r="EQ17" s="24"/>
      <c r="ER17" s="24"/>
      <c r="ES17" s="24"/>
      <c r="ET17" s="24"/>
      <c r="EU17" s="24"/>
      <c r="EV17" s="23" t="str">
        <f t="shared" si="14"/>
        <v/>
      </c>
      <c r="EW17" s="24"/>
      <c r="EX17" s="24"/>
      <c r="EY17" s="24"/>
      <c r="EZ17" s="24"/>
      <c r="FA17" s="24"/>
      <c r="FB17" s="24"/>
      <c r="FC17" s="24"/>
      <c r="FD17" s="24"/>
      <c r="FE17" s="24"/>
      <c r="FF17" s="24"/>
      <c r="FG17" s="23" t="str">
        <f t="shared" si="15"/>
        <v/>
      </c>
      <c r="FH17" s="24"/>
      <c r="FI17" s="24"/>
      <c r="FJ17" s="24"/>
      <c r="FK17" s="24"/>
      <c r="FL17" s="24"/>
      <c r="FM17" s="24"/>
      <c r="FN17" s="24"/>
      <c r="FO17" s="24"/>
      <c r="FP17" s="24"/>
      <c r="FQ17" s="24"/>
    </row>
    <row r="18" spans="1:173" x14ac:dyDescent="0.25">
      <c r="A18">
        <v>4108</v>
      </c>
      <c r="B18" t="str">
        <f t="shared" si="0"/>
        <v>NYKU4810945|ONEYBKKGL7412700</v>
      </c>
      <c r="C18" s="24">
        <v>46202.3122337963</v>
      </c>
      <c r="E18" t="s">
        <v>477</v>
      </c>
      <c r="F18" t="s">
        <v>434</v>
      </c>
      <c r="G18" t="s">
        <v>478</v>
      </c>
      <c r="H18" t="s">
        <v>479</v>
      </c>
      <c r="I18" s="22" t="str">
        <f t="shared" si="1"/>
        <v/>
      </c>
      <c r="J18" t="s">
        <v>479</v>
      </c>
      <c r="K18" t="s">
        <v>479</v>
      </c>
      <c r="L18" t="s">
        <v>117</v>
      </c>
      <c r="M18" t="s">
        <v>117</v>
      </c>
      <c r="N18" t="s">
        <v>479</v>
      </c>
      <c r="O18" t="s">
        <v>117</v>
      </c>
      <c r="P18" t="s">
        <v>117</v>
      </c>
      <c r="Q18" t="s">
        <v>117</v>
      </c>
      <c r="R18" t="s">
        <v>479</v>
      </c>
      <c r="S18" t="s">
        <v>117</v>
      </c>
      <c r="T18" s="22" t="str">
        <f t="shared" si="2"/>
        <v/>
      </c>
      <c r="U18" t="s">
        <v>480</v>
      </c>
      <c r="V18" t="s">
        <v>480</v>
      </c>
      <c r="X18" t="s">
        <v>117</v>
      </c>
      <c r="Y18" t="s">
        <v>480</v>
      </c>
      <c r="AA18" t="s">
        <v>117</v>
      </c>
      <c r="AB18" t="s">
        <v>117</v>
      </c>
      <c r="AC18" t="s">
        <v>480</v>
      </c>
      <c r="AE18" s="23" t="str">
        <f t="shared" si="3"/>
        <v/>
      </c>
      <c r="AF18" s="24">
        <v>46207</v>
      </c>
      <c r="AG18" s="24">
        <v>46207</v>
      </c>
      <c r="AH18" s="24"/>
      <c r="AI18" s="24"/>
      <c r="AJ18" s="24">
        <v>46207.357638888891</v>
      </c>
      <c r="AK18" s="24"/>
      <c r="AL18" s="24"/>
      <c r="AM18" s="24"/>
      <c r="AN18" s="24">
        <v>46206</v>
      </c>
      <c r="AO18" s="24"/>
      <c r="AP18" s="23" t="str">
        <f t="shared" si="4"/>
        <v/>
      </c>
      <c r="AQ18" s="24">
        <v>46236</v>
      </c>
      <c r="AR18" s="24">
        <v>46236</v>
      </c>
      <c r="AS18" s="24"/>
      <c r="AT18" s="24"/>
      <c r="AU18" s="24">
        <v>46236.333333333336</v>
      </c>
      <c r="AV18" s="24"/>
      <c r="AW18" s="24"/>
      <c r="AX18" s="24"/>
      <c r="AY18" s="24">
        <v>46235</v>
      </c>
      <c r="AZ18" s="24"/>
      <c r="BA18" s="23" t="str">
        <f t="shared" si="5"/>
        <v/>
      </c>
      <c r="BB18" s="24"/>
      <c r="BC18" s="24"/>
      <c r="BD18" s="24"/>
      <c r="BE18" s="24"/>
      <c r="BF18" s="24"/>
      <c r="BG18" s="24"/>
      <c r="BH18" s="24"/>
      <c r="BI18" s="24"/>
      <c r="BJ18" s="24"/>
      <c r="BK18" s="24"/>
      <c r="BL18" s="23" t="str">
        <f t="shared" si="6"/>
        <v/>
      </c>
      <c r="BM18" s="24">
        <v>46236</v>
      </c>
      <c r="BN18" s="24">
        <v>46236</v>
      </c>
      <c r="BO18" s="24"/>
      <c r="BP18" s="24"/>
      <c r="BQ18" s="24"/>
      <c r="BR18" s="24"/>
      <c r="BS18" s="24"/>
      <c r="BT18" s="24"/>
      <c r="BU18" s="24">
        <v>46235</v>
      </c>
      <c r="BV18" s="24"/>
      <c r="BW18" s="23" t="str">
        <f t="shared" si="7"/>
        <v/>
      </c>
      <c r="BX18" s="24"/>
      <c r="BY18" s="24"/>
      <c r="BZ18" s="24"/>
      <c r="CA18" s="24"/>
      <c r="CB18" s="24"/>
      <c r="CC18" s="24"/>
      <c r="CD18" s="24"/>
      <c r="CE18" s="24"/>
      <c r="CF18" s="24"/>
      <c r="CG18" s="24"/>
      <c r="CH18" s="23" t="str">
        <f t="shared" si="8"/>
        <v/>
      </c>
      <c r="CI18" s="24"/>
      <c r="CJ18" s="24"/>
      <c r="CK18" s="24"/>
      <c r="CL18" s="24"/>
      <c r="CM18" s="24"/>
      <c r="CN18" s="24"/>
      <c r="CO18" s="24"/>
      <c r="CP18" s="24"/>
      <c r="CQ18" s="24"/>
      <c r="CR18" s="24"/>
      <c r="CS18" s="23">
        <f t="shared" si="9"/>
        <v>46241</v>
      </c>
      <c r="CT18" s="24">
        <v>46241</v>
      </c>
      <c r="CU18" s="24">
        <v>46241</v>
      </c>
      <c r="CV18" s="24"/>
      <c r="CW18" s="24"/>
      <c r="CX18" s="24"/>
      <c r="CY18" s="24"/>
      <c r="CZ18" s="24"/>
      <c r="DA18" s="24"/>
      <c r="DB18" s="24"/>
      <c r="DC18" s="24"/>
      <c r="DD18" s="23" t="str">
        <f t="shared" si="10"/>
        <v/>
      </c>
      <c r="DE18" s="24"/>
      <c r="DF18" s="24"/>
      <c r="DG18" s="24"/>
      <c r="DH18" s="24"/>
      <c r="DI18" s="24"/>
      <c r="DJ18" s="24"/>
      <c r="DK18" s="24"/>
      <c r="DL18" s="24"/>
      <c r="DM18" s="24"/>
      <c r="DN18" s="24"/>
      <c r="DO18" s="22" t="str">
        <f t="shared" si="11"/>
        <v/>
      </c>
      <c r="DR18" t="s">
        <v>117</v>
      </c>
      <c r="DZ18" s="23" t="str">
        <f t="shared" si="12"/>
        <v/>
      </c>
      <c r="EA18" s="24"/>
      <c r="EB18" s="24"/>
      <c r="EC18" s="24"/>
      <c r="ED18" s="24"/>
      <c r="EE18" s="24"/>
      <c r="EF18" s="24"/>
      <c r="EG18" s="24"/>
      <c r="EH18" s="24"/>
      <c r="EI18" s="24"/>
      <c r="EJ18" s="24"/>
      <c r="EK18" s="23" t="str">
        <f t="shared" si="13"/>
        <v/>
      </c>
      <c r="EL18" s="24"/>
      <c r="EM18" s="24"/>
      <c r="EN18" s="24"/>
      <c r="EO18" s="24"/>
      <c r="EP18" s="24"/>
      <c r="EQ18" s="24"/>
      <c r="ER18" s="24"/>
      <c r="ES18" s="24"/>
      <c r="ET18" s="24"/>
      <c r="EU18" s="24"/>
      <c r="EV18" s="23" t="str">
        <f t="shared" si="14"/>
        <v/>
      </c>
      <c r="EW18" s="24"/>
      <c r="EX18" s="24"/>
      <c r="EY18" s="24"/>
      <c r="EZ18" s="24"/>
      <c r="FA18" s="24"/>
      <c r="FB18" s="24"/>
      <c r="FC18" s="24"/>
      <c r="FD18" s="24"/>
      <c r="FE18" s="24"/>
      <c r="FF18" s="24"/>
      <c r="FG18" s="23" t="str">
        <f t="shared" si="15"/>
        <v/>
      </c>
      <c r="FH18" s="24"/>
      <c r="FI18" s="24"/>
      <c r="FJ18" s="24"/>
      <c r="FK18" s="24"/>
      <c r="FL18" s="24"/>
      <c r="FM18" s="24"/>
      <c r="FN18" s="24"/>
      <c r="FO18" s="24"/>
      <c r="FP18" s="24"/>
      <c r="FQ18" s="24"/>
    </row>
    <row r="19" spans="1:173" x14ac:dyDescent="0.25">
      <c r="A19">
        <v>4109</v>
      </c>
      <c r="B19" t="str">
        <f t="shared" si="0"/>
        <v>TCLU7973333|ONEYBKKGL6888900</v>
      </c>
      <c r="C19" s="24">
        <v>46202.34615740741</v>
      </c>
      <c r="E19" t="s">
        <v>481</v>
      </c>
      <c r="F19" t="s">
        <v>434</v>
      </c>
      <c r="G19" t="s">
        <v>482</v>
      </c>
      <c r="H19" t="s">
        <v>483</v>
      </c>
      <c r="I19" s="22" t="str">
        <f t="shared" si="1"/>
        <v/>
      </c>
      <c r="J19" t="s">
        <v>483</v>
      </c>
      <c r="K19" t="s">
        <v>483</v>
      </c>
      <c r="L19" t="s">
        <v>117</v>
      </c>
      <c r="M19" t="s">
        <v>117</v>
      </c>
      <c r="N19" t="s">
        <v>483</v>
      </c>
      <c r="O19" t="s">
        <v>117</v>
      </c>
      <c r="P19" t="s">
        <v>117</v>
      </c>
      <c r="Q19" t="s">
        <v>483</v>
      </c>
      <c r="R19" t="s">
        <v>483</v>
      </c>
      <c r="S19" t="s">
        <v>117</v>
      </c>
      <c r="T19" s="22" t="str">
        <f t="shared" si="2"/>
        <v/>
      </c>
      <c r="U19" t="s">
        <v>480</v>
      </c>
      <c r="V19" t="s">
        <v>480</v>
      </c>
      <c r="X19" t="s">
        <v>117</v>
      </c>
      <c r="Y19" t="s">
        <v>480</v>
      </c>
      <c r="AA19" t="s">
        <v>117</v>
      </c>
      <c r="AB19" t="s">
        <v>480</v>
      </c>
      <c r="AC19" t="s">
        <v>480</v>
      </c>
      <c r="AE19" s="23" t="str">
        <f t="shared" si="3"/>
        <v/>
      </c>
      <c r="AF19" s="24">
        <v>46207</v>
      </c>
      <c r="AG19" s="24">
        <v>46207</v>
      </c>
      <c r="AH19" s="24"/>
      <c r="AI19" s="24"/>
      <c r="AJ19" s="24">
        <v>46207.357638888891</v>
      </c>
      <c r="AK19" s="24"/>
      <c r="AL19" s="24"/>
      <c r="AM19" s="24">
        <v>46207</v>
      </c>
      <c r="AN19" s="24">
        <v>46207</v>
      </c>
      <c r="AO19" s="24"/>
      <c r="AP19" s="23" t="str">
        <f t="shared" si="4"/>
        <v/>
      </c>
      <c r="AQ19" s="24">
        <v>46236</v>
      </c>
      <c r="AR19" s="24">
        <v>46236</v>
      </c>
      <c r="AS19" s="24"/>
      <c r="AT19" s="24"/>
      <c r="AU19" s="24">
        <v>46236.333333333336</v>
      </c>
      <c r="AV19" s="24"/>
      <c r="AW19" s="24"/>
      <c r="AX19" s="24">
        <v>46236</v>
      </c>
      <c r="AY19" s="24">
        <v>46236</v>
      </c>
      <c r="AZ19" s="24"/>
      <c r="BA19" s="23" t="str">
        <f t="shared" si="5"/>
        <v/>
      </c>
      <c r="BB19" s="24"/>
      <c r="BC19" s="24"/>
      <c r="BD19" s="24"/>
      <c r="BE19" s="24"/>
      <c r="BF19" s="24"/>
      <c r="BG19" s="24"/>
      <c r="BH19" s="24"/>
      <c r="BI19" s="24"/>
      <c r="BJ19" s="24"/>
      <c r="BK19" s="24"/>
      <c r="BL19" s="23" t="str">
        <f t="shared" si="6"/>
        <v/>
      </c>
      <c r="BM19" s="24">
        <v>46236</v>
      </c>
      <c r="BN19" s="24">
        <v>46236</v>
      </c>
      <c r="BO19" s="24"/>
      <c r="BP19" s="24"/>
      <c r="BQ19" s="24"/>
      <c r="BR19" s="24"/>
      <c r="BS19" s="24"/>
      <c r="BT19" s="24"/>
      <c r="BU19" s="24">
        <v>46235</v>
      </c>
      <c r="BV19" s="24"/>
      <c r="BW19" s="23" t="str">
        <f t="shared" si="7"/>
        <v/>
      </c>
      <c r="BX19" s="24"/>
      <c r="BY19" s="24"/>
      <c r="BZ19" s="24"/>
      <c r="CA19" s="24"/>
      <c r="CB19" s="24"/>
      <c r="CC19" s="24"/>
      <c r="CD19" s="24"/>
      <c r="CE19" s="24"/>
      <c r="CF19" s="24"/>
      <c r="CG19" s="24"/>
      <c r="CH19" s="23" t="str">
        <f t="shared" si="8"/>
        <v/>
      </c>
      <c r="CI19" s="24"/>
      <c r="CJ19" s="24"/>
      <c r="CK19" s="24"/>
      <c r="CL19" s="24"/>
      <c r="CM19" s="24"/>
      <c r="CN19" s="24"/>
      <c r="CO19" s="24"/>
      <c r="CP19" s="24"/>
      <c r="CQ19" s="24"/>
      <c r="CR19" s="24"/>
      <c r="CS19" s="23">
        <f t="shared" si="9"/>
        <v>46241</v>
      </c>
      <c r="CT19" s="24">
        <v>46241</v>
      </c>
      <c r="CU19" s="24">
        <v>46241</v>
      </c>
      <c r="CV19" s="24"/>
      <c r="CW19" s="24"/>
      <c r="CX19" s="24"/>
      <c r="CY19" s="24"/>
      <c r="CZ19" s="24"/>
      <c r="DA19" s="24"/>
      <c r="DB19" s="24"/>
      <c r="DC19" s="24"/>
      <c r="DD19" s="23" t="str">
        <f t="shared" si="10"/>
        <v/>
      </c>
      <c r="DE19" s="24"/>
      <c r="DF19" s="24"/>
      <c r="DG19" s="24"/>
      <c r="DH19" s="24"/>
      <c r="DI19" s="24"/>
      <c r="DJ19" s="24"/>
      <c r="DK19" s="24"/>
      <c r="DL19" s="24"/>
      <c r="DM19" s="24"/>
      <c r="DN19" s="24"/>
      <c r="DO19" s="22" t="str">
        <f t="shared" si="11"/>
        <v/>
      </c>
      <c r="DR19" t="s">
        <v>117</v>
      </c>
      <c r="DZ19" s="23" t="str">
        <f t="shared" si="12"/>
        <v/>
      </c>
      <c r="EA19" s="24"/>
      <c r="EB19" s="24"/>
      <c r="EC19" s="24"/>
      <c r="ED19" s="24"/>
      <c r="EE19" s="24"/>
      <c r="EF19" s="24"/>
      <c r="EG19" s="24"/>
      <c r="EH19" s="24"/>
      <c r="EI19" s="24"/>
      <c r="EJ19" s="24"/>
      <c r="EK19" s="23" t="str">
        <f t="shared" si="13"/>
        <v/>
      </c>
      <c r="EL19" s="24"/>
      <c r="EM19" s="24"/>
      <c r="EN19" s="24"/>
      <c r="EO19" s="24"/>
      <c r="EP19" s="24"/>
      <c r="EQ19" s="24"/>
      <c r="ER19" s="24"/>
      <c r="ES19" s="24"/>
      <c r="ET19" s="24"/>
      <c r="EU19" s="24"/>
      <c r="EV19" s="23" t="str">
        <f t="shared" si="14"/>
        <v/>
      </c>
      <c r="EW19" s="24"/>
      <c r="EX19" s="24"/>
      <c r="EY19" s="24"/>
      <c r="EZ19" s="24"/>
      <c r="FA19" s="24"/>
      <c r="FB19" s="24"/>
      <c r="FC19" s="24"/>
      <c r="FD19" s="24"/>
      <c r="FE19" s="24"/>
      <c r="FF19" s="24"/>
      <c r="FG19" s="23" t="str">
        <f t="shared" si="15"/>
        <v/>
      </c>
      <c r="FH19" s="24"/>
      <c r="FI19" s="24"/>
      <c r="FJ19" s="24"/>
      <c r="FK19" s="24"/>
      <c r="FL19" s="24"/>
      <c r="FM19" s="24"/>
      <c r="FN19" s="24"/>
      <c r="FO19" s="24"/>
      <c r="FP19" s="24"/>
      <c r="FQ19" s="24"/>
    </row>
    <row r="20" spans="1:173" x14ac:dyDescent="0.25">
      <c r="A20">
        <v>4110</v>
      </c>
      <c r="B20" t="str">
        <f t="shared" si="0"/>
        <v>GAOU6170176|BKKM73793700</v>
      </c>
      <c r="C20" s="24">
        <v>46202.381122685183</v>
      </c>
      <c r="E20" t="s">
        <v>484</v>
      </c>
      <c r="F20" t="s">
        <v>434</v>
      </c>
      <c r="G20" t="s">
        <v>485</v>
      </c>
      <c r="H20" t="s">
        <v>486</v>
      </c>
      <c r="I20" s="22" t="str">
        <f t="shared" si="1"/>
        <v/>
      </c>
      <c r="J20" t="s">
        <v>487</v>
      </c>
      <c r="K20" t="s">
        <v>117</v>
      </c>
      <c r="L20" t="s">
        <v>117</v>
      </c>
      <c r="M20" t="s">
        <v>117</v>
      </c>
      <c r="N20" t="s">
        <v>117</v>
      </c>
      <c r="O20" t="s">
        <v>117</v>
      </c>
      <c r="P20" t="s">
        <v>117</v>
      </c>
      <c r="Q20" t="s">
        <v>487</v>
      </c>
      <c r="R20" t="s">
        <v>117</v>
      </c>
      <c r="S20" t="s">
        <v>117</v>
      </c>
      <c r="T20" s="22" t="str">
        <f t="shared" si="2"/>
        <v/>
      </c>
      <c r="U20" t="s">
        <v>488</v>
      </c>
      <c r="V20" t="s">
        <v>117</v>
      </c>
      <c r="X20" t="s">
        <v>117</v>
      </c>
      <c r="Y20" t="s">
        <v>117</v>
      </c>
      <c r="AA20" t="s">
        <v>117</v>
      </c>
      <c r="AB20" t="s">
        <v>480</v>
      </c>
      <c r="AC20" t="s">
        <v>117</v>
      </c>
      <c r="AE20" s="23" t="str">
        <f t="shared" si="3"/>
        <v/>
      </c>
      <c r="AF20" s="24">
        <v>46207</v>
      </c>
      <c r="AG20" s="24"/>
      <c r="AH20" s="24"/>
      <c r="AI20" s="24"/>
      <c r="AJ20" s="24"/>
      <c r="AK20" s="24"/>
      <c r="AL20" s="24"/>
      <c r="AM20" s="24">
        <v>46207</v>
      </c>
      <c r="AN20" s="24"/>
      <c r="AO20" s="24"/>
      <c r="AP20" s="23" t="str">
        <f t="shared" si="4"/>
        <v/>
      </c>
      <c r="AQ20" s="24">
        <v>46236</v>
      </c>
      <c r="AR20" s="24"/>
      <c r="AS20" s="24"/>
      <c r="AT20" s="24"/>
      <c r="AU20" s="24"/>
      <c r="AV20" s="24"/>
      <c r="AW20" s="24"/>
      <c r="AX20" s="24">
        <v>46236</v>
      </c>
      <c r="AY20" s="24"/>
      <c r="AZ20" s="24"/>
      <c r="BA20" s="23" t="str">
        <f t="shared" si="5"/>
        <v/>
      </c>
      <c r="BB20" s="24"/>
      <c r="BC20" s="24"/>
      <c r="BD20" s="24"/>
      <c r="BE20" s="24"/>
      <c r="BF20" s="24"/>
      <c r="BG20" s="24"/>
      <c r="BH20" s="24"/>
      <c r="BI20" s="24"/>
      <c r="BJ20" s="24"/>
      <c r="BK20" s="24"/>
      <c r="BL20" s="23" t="str">
        <f t="shared" si="6"/>
        <v/>
      </c>
      <c r="BM20" s="24"/>
      <c r="BN20" s="24"/>
      <c r="BO20" s="24"/>
      <c r="BP20" s="24"/>
      <c r="BQ20" s="24"/>
      <c r="BR20" s="24"/>
      <c r="BS20" s="24"/>
      <c r="BT20" s="24"/>
      <c r="BU20" s="24"/>
      <c r="BV20" s="24"/>
      <c r="BW20" s="23" t="str">
        <f t="shared" si="7"/>
        <v/>
      </c>
      <c r="BX20" s="24"/>
      <c r="BY20" s="24"/>
      <c r="BZ20" s="24"/>
      <c r="CA20" s="24"/>
      <c r="CB20" s="24"/>
      <c r="CC20" s="24"/>
      <c r="CD20" s="24"/>
      <c r="CE20" s="24"/>
      <c r="CF20" s="24"/>
      <c r="CG20" s="24"/>
      <c r="CH20" s="23" t="str">
        <f t="shared" si="8"/>
        <v/>
      </c>
      <c r="CI20" s="24"/>
      <c r="CJ20" s="24"/>
      <c r="CK20" s="24"/>
      <c r="CL20" s="24"/>
      <c r="CM20" s="24"/>
      <c r="CN20" s="24"/>
      <c r="CO20" s="24"/>
      <c r="CP20" s="24"/>
      <c r="CQ20" s="24"/>
      <c r="CR20" s="24"/>
      <c r="CS20" s="23">
        <f t="shared" si="9"/>
        <v>46242</v>
      </c>
      <c r="CT20" s="24">
        <v>46242</v>
      </c>
      <c r="CU20" s="24"/>
      <c r="CV20" s="24"/>
      <c r="CW20" s="24"/>
      <c r="CX20" s="24"/>
      <c r="CY20" s="24"/>
      <c r="CZ20" s="24"/>
      <c r="DA20" s="24"/>
      <c r="DB20" s="24"/>
      <c r="DC20" s="24"/>
      <c r="DD20" s="23" t="str">
        <f t="shared" si="10"/>
        <v/>
      </c>
      <c r="DE20" s="24"/>
      <c r="DF20" s="24"/>
      <c r="DG20" s="24"/>
      <c r="DH20" s="24"/>
      <c r="DI20" s="24"/>
      <c r="DJ20" s="24"/>
      <c r="DK20" s="24"/>
      <c r="DL20" s="24"/>
      <c r="DM20" s="24"/>
      <c r="DN20" s="24"/>
      <c r="DO20" s="22" t="str">
        <f t="shared" si="11"/>
        <v/>
      </c>
      <c r="DR20" t="s">
        <v>117</v>
      </c>
      <c r="DZ20" s="23" t="str">
        <f t="shared" si="12"/>
        <v/>
      </c>
      <c r="EA20" s="24"/>
      <c r="EB20" s="24"/>
      <c r="EC20" s="24"/>
      <c r="ED20" s="24"/>
      <c r="EE20" s="24"/>
      <c r="EF20" s="24"/>
      <c r="EG20" s="24"/>
      <c r="EH20" s="24"/>
      <c r="EI20" s="24"/>
      <c r="EJ20" s="24"/>
      <c r="EK20" s="23" t="str">
        <f t="shared" si="13"/>
        <v/>
      </c>
      <c r="EL20" s="24"/>
      <c r="EM20" s="24"/>
      <c r="EN20" s="24"/>
      <c r="EO20" s="24"/>
      <c r="EP20" s="24"/>
      <c r="EQ20" s="24"/>
      <c r="ER20" s="24"/>
      <c r="ES20" s="24"/>
      <c r="ET20" s="24"/>
      <c r="EU20" s="24"/>
      <c r="EV20" s="23" t="str">
        <f t="shared" si="14"/>
        <v/>
      </c>
      <c r="EW20" s="24"/>
      <c r="EX20" s="24"/>
      <c r="EY20" s="24"/>
      <c r="EZ20" s="24"/>
      <c r="FA20" s="24"/>
      <c r="FB20" s="24"/>
      <c r="FC20" s="24"/>
      <c r="FD20" s="24"/>
      <c r="FE20" s="24"/>
      <c r="FF20" s="24"/>
      <c r="FG20" s="23" t="str">
        <f t="shared" si="15"/>
        <v/>
      </c>
      <c r="FH20" s="24"/>
      <c r="FI20" s="24"/>
      <c r="FJ20" s="24"/>
      <c r="FK20" s="24"/>
      <c r="FL20" s="24"/>
      <c r="FM20" s="24"/>
      <c r="FN20" s="24"/>
      <c r="FO20" s="24"/>
      <c r="FP20" s="24"/>
      <c r="FQ20" s="24"/>
    </row>
    <row r="21" spans="1:173" x14ac:dyDescent="0.25">
      <c r="A21">
        <v>4111</v>
      </c>
      <c r="B21" t="str">
        <f t="shared" si="0"/>
        <v>HMMU6135106|BKKM73793700</v>
      </c>
      <c r="C21" s="24">
        <v>46202.383912037039</v>
      </c>
      <c r="E21" t="s">
        <v>489</v>
      </c>
      <c r="F21" t="s">
        <v>434</v>
      </c>
      <c r="G21" t="s">
        <v>490</v>
      </c>
      <c r="H21" t="s">
        <v>486</v>
      </c>
      <c r="I21" s="22" t="str">
        <f t="shared" si="1"/>
        <v/>
      </c>
      <c r="J21" t="s">
        <v>487</v>
      </c>
      <c r="K21" t="s">
        <v>117</v>
      </c>
      <c r="L21" t="s">
        <v>117</v>
      </c>
      <c r="M21" t="s">
        <v>117</v>
      </c>
      <c r="N21" t="s">
        <v>117</v>
      </c>
      <c r="O21" t="s">
        <v>117</v>
      </c>
      <c r="P21" t="s">
        <v>117</v>
      </c>
      <c r="Q21" t="s">
        <v>487</v>
      </c>
      <c r="R21" t="s">
        <v>117</v>
      </c>
      <c r="S21" t="s">
        <v>117</v>
      </c>
      <c r="T21" s="22" t="str">
        <f t="shared" si="2"/>
        <v/>
      </c>
      <c r="U21" t="s">
        <v>491</v>
      </c>
      <c r="V21" t="s">
        <v>117</v>
      </c>
      <c r="X21" t="s">
        <v>117</v>
      </c>
      <c r="Y21" t="s">
        <v>117</v>
      </c>
      <c r="AA21" t="s">
        <v>117</v>
      </c>
      <c r="AB21" t="s">
        <v>480</v>
      </c>
      <c r="AC21" t="s">
        <v>117</v>
      </c>
      <c r="AE21" s="23" t="str">
        <f t="shared" si="3"/>
        <v/>
      </c>
      <c r="AF21" s="24">
        <v>46207</v>
      </c>
      <c r="AG21" s="24"/>
      <c r="AH21" s="24"/>
      <c r="AI21" s="24"/>
      <c r="AJ21" s="24"/>
      <c r="AK21" s="24"/>
      <c r="AL21" s="24"/>
      <c r="AM21" s="24">
        <v>46207</v>
      </c>
      <c r="AN21" s="24"/>
      <c r="AO21" s="24"/>
      <c r="AP21" s="23" t="str">
        <f t="shared" si="4"/>
        <v/>
      </c>
      <c r="AQ21" s="24">
        <v>46236</v>
      </c>
      <c r="AR21" s="24"/>
      <c r="AS21" s="24"/>
      <c r="AT21" s="24"/>
      <c r="AU21" s="24"/>
      <c r="AV21" s="24"/>
      <c r="AW21" s="24"/>
      <c r="AX21" s="24">
        <v>46236</v>
      </c>
      <c r="AY21" s="24"/>
      <c r="AZ21" s="24"/>
      <c r="BA21" s="23" t="str">
        <f t="shared" si="5"/>
        <v/>
      </c>
      <c r="BB21" s="24"/>
      <c r="BC21" s="24"/>
      <c r="BD21" s="24"/>
      <c r="BE21" s="24"/>
      <c r="BF21" s="24"/>
      <c r="BG21" s="24"/>
      <c r="BH21" s="24"/>
      <c r="BI21" s="24"/>
      <c r="BJ21" s="24"/>
      <c r="BK21" s="24"/>
      <c r="BL21" s="23" t="str">
        <f t="shared" si="6"/>
        <v/>
      </c>
      <c r="BM21" s="24"/>
      <c r="BN21" s="24"/>
      <c r="BO21" s="24"/>
      <c r="BP21" s="24"/>
      <c r="BQ21" s="24"/>
      <c r="BR21" s="24"/>
      <c r="BS21" s="24"/>
      <c r="BT21" s="24"/>
      <c r="BU21" s="24"/>
      <c r="BV21" s="24"/>
      <c r="BW21" s="23" t="str">
        <f t="shared" si="7"/>
        <v/>
      </c>
      <c r="BX21" s="24"/>
      <c r="BY21" s="24"/>
      <c r="BZ21" s="24"/>
      <c r="CA21" s="24"/>
      <c r="CB21" s="24"/>
      <c r="CC21" s="24"/>
      <c r="CD21" s="24"/>
      <c r="CE21" s="24"/>
      <c r="CF21" s="24"/>
      <c r="CG21" s="24"/>
      <c r="CH21" s="23" t="str">
        <f t="shared" si="8"/>
        <v/>
      </c>
      <c r="CI21" s="24"/>
      <c r="CJ21" s="24"/>
      <c r="CK21" s="24"/>
      <c r="CL21" s="24"/>
      <c r="CM21" s="24"/>
      <c r="CN21" s="24"/>
      <c r="CO21" s="24"/>
      <c r="CP21" s="24"/>
      <c r="CQ21" s="24"/>
      <c r="CR21" s="24"/>
      <c r="CS21" s="23">
        <f t="shared" si="9"/>
        <v>46246</v>
      </c>
      <c r="CT21" s="24">
        <v>46246</v>
      </c>
      <c r="CU21" s="24"/>
      <c r="CV21" s="24"/>
      <c r="CW21" s="24"/>
      <c r="CX21" s="24"/>
      <c r="CY21" s="24"/>
      <c r="CZ21" s="24"/>
      <c r="DA21" s="24"/>
      <c r="DB21" s="24"/>
      <c r="DC21" s="24"/>
      <c r="DD21" s="23" t="str">
        <f t="shared" si="10"/>
        <v/>
      </c>
      <c r="DE21" s="24"/>
      <c r="DF21" s="24"/>
      <c r="DG21" s="24"/>
      <c r="DH21" s="24"/>
      <c r="DI21" s="24"/>
      <c r="DJ21" s="24"/>
      <c r="DK21" s="24"/>
      <c r="DL21" s="24"/>
      <c r="DM21" s="24"/>
      <c r="DN21" s="24"/>
      <c r="DO21" s="22" t="str">
        <f t="shared" si="11"/>
        <v/>
      </c>
      <c r="DR21" t="s">
        <v>117</v>
      </c>
      <c r="DZ21" s="23" t="str">
        <f t="shared" si="12"/>
        <v/>
      </c>
      <c r="EA21" s="24"/>
      <c r="EB21" s="24"/>
      <c r="EC21" s="24"/>
      <c r="ED21" s="24"/>
      <c r="EE21" s="24"/>
      <c r="EF21" s="24"/>
      <c r="EG21" s="24"/>
      <c r="EH21" s="24"/>
      <c r="EI21" s="24"/>
      <c r="EJ21" s="24"/>
      <c r="EK21" s="23" t="str">
        <f t="shared" si="13"/>
        <v/>
      </c>
      <c r="EL21" s="24"/>
      <c r="EM21" s="24"/>
      <c r="EN21" s="24"/>
      <c r="EO21" s="24"/>
      <c r="EP21" s="24"/>
      <c r="EQ21" s="24"/>
      <c r="ER21" s="24"/>
      <c r="ES21" s="24"/>
      <c r="ET21" s="24"/>
      <c r="EU21" s="24"/>
      <c r="EV21" s="23" t="str">
        <f t="shared" si="14"/>
        <v/>
      </c>
      <c r="EW21" s="24"/>
      <c r="EX21" s="24"/>
      <c r="EY21" s="24"/>
      <c r="EZ21" s="24"/>
      <c r="FA21" s="24"/>
      <c r="FB21" s="24"/>
      <c r="FC21" s="24"/>
      <c r="FD21" s="24"/>
      <c r="FE21" s="24"/>
      <c r="FF21" s="24"/>
      <c r="FG21" s="23" t="str">
        <f t="shared" si="15"/>
        <v/>
      </c>
      <c r="FH21" s="24"/>
      <c r="FI21" s="24"/>
      <c r="FJ21" s="24"/>
      <c r="FK21" s="24"/>
      <c r="FL21" s="24"/>
      <c r="FM21" s="24"/>
      <c r="FN21" s="24"/>
      <c r="FO21" s="24"/>
      <c r="FP21" s="24"/>
      <c r="FQ21" s="24"/>
    </row>
    <row r="22" spans="1:173" x14ac:dyDescent="0.25">
      <c r="A22">
        <v>4112</v>
      </c>
      <c r="B22" t="str">
        <f t="shared" si="0"/>
        <v>KKFU8124840|ONEYBKKGL7490600</v>
      </c>
      <c r="C22" s="24">
        <v>46202.3906712963</v>
      </c>
      <c r="E22" t="s">
        <v>492</v>
      </c>
      <c r="F22" t="s">
        <v>434</v>
      </c>
      <c r="G22" t="s">
        <v>493</v>
      </c>
      <c r="H22" t="s">
        <v>494</v>
      </c>
      <c r="I22" s="22" t="str">
        <f t="shared" si="1"/>
        <v/>
      </c>
      <c r="J22" t="s">
        <v>494</v>
      </c>
      <c r="K22" t="s">
        <v>494</v>
      </c>
      <c r="L22" t="s">
        <v>117</v>
      </c>
      <c r="M22" t="s">
        <v>117</v>
      </c>
      <c r="N22" t="s">
        <v>494</v>
      </c>
      <c r="O22" t="s">
        <v>117</v>
      </c>
      <c r="P22" t="s">
        <v>117</v>
      </c>
      <c r="Q22" t="s">
        <v>494</v>
      </c>
      <c r="R22" t="s">
        <v>494</v>
      </c>
      <c r="S22" t="s">
        <v>117</v>
      </c>
      <c r="T22" s="22" t="str">
        <f t="shared" si="2"/>
        <v/>
      </c>
      <c r="U22" t="s">
        <v>480</v>
      </c>
      <c r="V22" t="s">
        <v>480</v>
      </c>
      <c r="X22" t="s">
        <v>117</v>
      </c>
      <c r="Y22" t="s">
        <v>480</v>
      </c>
      <c r="AA22" t="s">
        <v>117</v>
      </c>
      <c r="AB22" t="s">
        <v>480</v>
      </c>
      <c r="AC22" t="s">
        <v>480</v>
      </c>
      <c r="AE22" s="23" t="str">
        <f t="shared" si="3"/>
        <v/>
      </c>
      <c r="AF22" s="24">
        <v>46207</v>
      </c>
      <c r="AG22" s="24">
        <v>46207</v>
      </c>
      <c r="AH22" s="24"/>
      <c r="AI22" s="24"/>
      <c r="AJ22" s="24">
        <v>46207.357638888891</v>
      </c>
      <c r="AK22" s="24"/>
      <c r="AL22" s="24"/>
      <c r="AM22" s="24">
        <v>46207</v>
      </c>
      <c r="AN22" s="24">
        <v>46206</v>
      </c>
      <c r="AO22" s="24"/>
      <c r="AP22" s="23" t="str">
        <f t="shared" si="4"/>
        <v/>
      </c>
      <c r="AQ22" s="24">
        <v>46236</v>
      </c>
      <c r="AR22" s="24">
        <v>46236</v>
      </c>
      <c r="AS22" s="24"/>
      <c r="AT22" s="24"/>
      <c r="AU22" s="24">
        <v>46236.333333333336</v>
      </c>
      <c r="AV22" s="24"/>
      <c r="AW22" s="24"/>
      <c r="AX22" s="24">
        <v>46236</v>
      </c>
      <c r="AY22" s="24">
        <v>46235</v>
      </c>
      <c r="AZ22" s="24"/>
      <c r="BA22" s="23" t="str">
        <f t="shared" si="5"/>
        <v/>
      </c>
      <c r="BB22" s="24"/>
      <c r="BC22" s="24"/>
      <c r="BD22" s="24"/>
      <c r="BE22" s="24"/>
      <c r="BF22" s="24"/>
      <c r="BG22" s="24"/>
      <c r="BH22" s="24"/>
      <c r="BI22" s="24"/>
      <c r="BJ22" s="24"/>
      <c r="BK22" s="24"/>
      <c r="BL22" s="23" t="str">
        <f t="shared" si="6"/>
        <v/>
      </c>
      <c r="BM22" s="24">
        <v>46236</v>
      </c>
      <c r="BN22" s="24">
        <v>46236</v>
      </c>
      <c r="BO22" s="24"/>
      <c r="BP22" s="24"/>
      <c r="BQ22" s="24"/>
      <c r="BR22" s="24"/>
      <c r="BS22" s="24"/>
      <c r="BT22" s="24"/>
      <c r="BU22" s="24">
        <v>46235</v>
      </c>
      <c r="BV22" s="24"/>
      <c r="BW22" s="23" t="str">
        <f t="shared" si="7"/>
        <v/>
      </c>
      <c r="BX22" s="24"/>
      <c r="BY22" s="24"/>
      <c r="BZ22" s="24"/>
      <c r="CA22" s="24"/>
      <c r="CB22" s="24"/>
      <c r="CC22" s="24"/>
      <c r="CD22" s="24"/>
      <c r="CE22" s="24"/>
      <c r="CF22" s="24"/>
      <c r="CG22" s="24"/>
      <c r="CH22" s="23" t="str">
        <f t="shared" si="8"/>
        <v/>
      </c>
      <c r="CI22" s="24"/>
      <c r="CJ22" s="24"/>
      <c r="CK22" s="24"/>
      <c r="CL22" s="24"/>
      <c r="CM22" s="24"/>
      <c r="CN22" s="24"/>
      <c r="CO22" s="24"/>
      <c r="CP22" s="24"/>
      <c r="CQ22" s="24"/>
      <c r="CR22" s="24"/>
      <c r="CS22" s="23">
        <f t="shared" si="9"/>
        <v>46241</v>
      </c>
      <c r="CT22" s="24">
        <v>46241</v>
      </c>
      <c r="CU22" s="24">
        <v>46241</v>
      </c>
      <c r="CV22" s="24"/>
      <c r="CW22" s="24"/>
      <c r="CX22" s="24"/>
      <c r="CY22" s="24"/>
      <c r="CZ22" s="24"/>
      <c r="DA22" s="24"/>
      <c r="DB22" s="24"/>
      <c r="DC22" s="24"/>
      <c r="DD22" s="23" t="str">
        <f t="shared" si="10"/>
        <v/>
      </c>
      <c r="DE22" s="24"/>
      <c r="DF22" s="24"/>
      <c r="DG22" s="24"/>
      <c r="DH22" s="24"/>
      <c r="DI22" s="24"/>
      <c r="DJ22" s="24"/>
      <c r="DK22" s="24"/>
      <c r="DL22" s="24"/>
      <c r="DM22" s="24"/>
      <c r="DN22" s="24"/>
      <c r="DO22" s="22" t="str">
        <f t="shared" si="11"/>
        <v/>
      </c>
      <c r="DR22" t="s">
        <v>117</v>
      </c>
      <c r="DZ22" s="23" t="str">
        <f t="shared" si="12"/>
        <v/>
      </c>
      <c r="EA22" s="24"/>
      <c r="EB22" s="24"/>
      <c r="EC22" s="24"/>
      <c r="ED22" s="24"/>
      <c r="EE22" s="24"/>
      <c r="EF22" s="24"/>
      <c r="EG22" s="24"/>
      <c r="EH22" s="24"/>
      <c r="EI22" s="24"/>
      <c r="EJ22" s="24"/>
      <c r="EK22" s="23" t="str">
        <f t="shared" si="13"/>
        <v/>
      </c>
      <c r="EL22" s="24"/>
      <c r="EM22" s="24"/>
      <c r="EN22" s="24"/>
      <c r="EO22" s="24"/>
      <c r="EP22" s="24"/>
      <c r="EQ22" s="24"/>
      <c r="ER22" s="24"/>
      <c r="ES22" s="24"/>
      <c r="ET22" s="24"/>
      <c r="EU22" s="24"/>
      <c r="EV22" s="23" t="str">
        <f t="shared" si="14"/>
        <v/>
      </c>
      <c r="EW22" s="24"/>
      <c r="EX22" s="24"/>
      <c r="EY22" s="24"/>
      <c r="EZ22" s="24"/>
      <c r="FA22" s="24"/>
      <c r="FB22" s="24"/>
      <c r="FC22" s="24"/>
      <c r="FD22" s="24"/>
      <c r="FE22" s="24"/>
      <c r="FF22" s="24"/>
      <c r="FG22" s="23" t="str">
        <f t="shared" si="15"/>
        <v/>
      </c>
      <c r="FH22" s="24"/>
      <c r="FI22" s="24"/>
      <c r="FJ22" s="24"/>
      <c r="FK22" s="24"/>
      <c r="FL22" s="24"/>
      <c r="FM22" s="24"/>
      <c r="FN22" s="24"/>
      <c r="FO22" s="24"/>
      <c r="FP22" s="24"/>
      <c r="FQ22" s="24"/>
    </row>
    <row r="23" spans="1:173" x14ac:dyDescent="0.25">
      <c r="A23">
        <v>4113</v>
      </c>
      <c r="B23" t="str">
        <f t="shared" si="0"/>
        <v>TCNU5793330|ONEYBKKGL7490600</v>
      </c>
      <c r="C23" s="24">
        <v>46202.393564814818</v>
      </c>
      <c r="E23" t="s">
        <v>495</v>
      </c>
      <c r="F23" t="s">
        <v>434</v>
      </c>
      <c r="G23" t="s">
        <v>496</v>
      </c>
      <c r="H23" t="s">
        <v>494</v>
      </c>
      <c r="I23" s="22" t="str">
        <f t="shared" si="1"/>
        <v/>
      </c>
      <c r="J23" t="s">
        <v>494</v>
      </c>
      <c r="K23" t="s">
        <v>494</v>
      </c>
      <c r="L23" t="s">
        <v>117</v>
      </c>
      <c r="M23" t="s">
        <v>117</v>
      </c>
      <c r="N23" t="s">
        <v>494</v>
      </c>
      <c r="O23" t="s">
        <v>117</v>
      </c>
      <c r="P23" t="s">
        <v>117</v>
      </c>
      <c r="Q23" t="s">
        <v>494</v>
      </c>
      <c r="R23" t="s">
        <v>494</v>
      </c>
      <c r="S23" t="s">
        <v>117</v>
      </c>
      <c r="T23" s="22" t="str">
        <f t="shared" si="2"/>
        <v/>
      </c>
      <c r="U23" t="s">
        <v>480</v>
      </c>
      <c r="V23" t="s">
        <v>480</v>
      </c>
      <c r="X23" t="s">
        <v>117</v>
      </c>
      <c r="Y23" t="s">
        <v>480</v>
      </c>
      <c r="AA23" t="s">
        <v>117</v>
      </c>
      <c r="AB23" t="s">
        <v>480</v>
      </c>
      <c r="AC23" t="s">
        <v>480</v>
      </c>
      <c r="AE23" s="23" t="str">
        <f t="shared" si="3"/>
        <v/>
      </c>
      <c r="AF23" s="24">
        <v>46207</v>
      </c>
      <c r="AG23" s="24">
        <v>46207</v>
      </c>
      <c r="AH23" s="24"/>
      <c r="AI23" s="24"/>
      <c r="AJ23" s="24">
        <v>46207.357638888891</v>
      </c>
      <c r="AK23" s="24"/>
      <c r="AL23" s="24"/>
      <c r="AM23" s="24">
        <v>46207</v>
      </c>
      <c r="AN23" s="24">
        <v>46206</v>
      </c>
      <c r="AO23" s="24"/>
      <c r="AP23" s="23" t="str">
        <f t="shared" si="4"/>
        <v/>
      </c>
      <c r="AQ23" s="24">
        <v>46236</v>
      </c>
      <c r="AR23" s="24">
        <v>46236</v>
      </c>
      <c r="AS23" s="24"/>
      <c r="AT23" s="24"/>
      <c r="AU23" s="24">
        <v>46236.333333333336</v>
      </c>
      <c r="AV23" s="24"/>
      <c r="AW23" s="24"/>
      <c r="AX23" s="24">
        <v>46236</v>
      </c>
      <c r="AY23" s="24">
        <v>46235</v>
      </c>
      <c r="AZ23" s="24"/>
      <c r="BA23" s="23" t="str">
        <f t="shared" si="5"/>
        <v/>
      </c>
      <c r="BB23" s="24"/>
      <c r="BC23" s="24"/>
      <c r="BD23" s="24"/>
      <c r="BE23" s="24"/>
      <c r="BF23" s="24"/>
      <c r="BG23" s="24"/>
      <c r="BH23" s="24"/>
      <c r="BI23" s="24"/>
      <c r="BJ23" s="24"/>
      <c r="BK23" s="24"/>
      <c r="BL23" s="23" t="str">
        <f t="shared" si="6"/>
        <v/>
      </c>
      <c r="BM23" s="24">
        <v>46236</v>
      </c>
      <c r="BN23" s="24">
        <v>46236</v>
      </c>
      <c r="BO23" s="24"/>
      <c r="BP23" s="24"/>
      <c r="BQ23" s="24"/>
      <c r="BR23" s="24"/>
      <c r="BS23" s="24"/>
      <c r="BT23" s="24"/>
      <c r="BU23" s="24">
        <v>46235</v>
      </c>
      <c r="BV23" s="24"/>
      <c r="BW23" s="23" t="str">
        <f t="shared" si="7"/>
        <v/>
      </c>
      <c r="BX23" s="24"/>
      <c r="BY23" s="24"/>
      <c r="BZ23" s="24"/>
      <c r="CA23" s="24"/>
      <c r="CB23" s="24"/>
      <c r="CC23" s="24"/>
      <c r="CD23" s="24"/>
      <c r="CE23" s="24"/>
      <c r="CF23" s="24"/>
      <c r="CG23" s="24"/>
      <c r="CH23" s="23" t="str">
        <f t="shared" si="8"/>
        <v/>
      </c>
      <c r="CI23" s="24"/>
      <c r="CJ23" s="24"/>
      <c r="CK23" s="24"/>
      <c r="CL23" s="24"/>
      <c r="CM23" s="24"/>
      <c r="CN23" s="24"/>
      <c r="CO23" s="24"/>
      <c r="CP23" s="24"/>
      <c r="CQ23" s="24"/>
      <c r="CR23" s="24"/>
      <c r="CS23" s="23">
        <f t="shared" si="9"/>
        <v>46241</v>
      </c>
      <c r="CT23" s="24">
        <v>46241</v>
      </c>
      <c r="CU23" s="24">
        <v>46241</v>
      </c>
      <c r="CV23" s="24"/>
      <c r="CW23" s="24"/>
      <c r="CX23" s="24"/>
      <c r="CY23" s="24"/>
      <c r="CZ23" s="24"/>
      <c r="DA23" s="24"/>
      <c r="DB23" s="24"/>
      <c r="DC23" s="24"/>
      <c r="DD23" s="23" t="str">
        <f t="shared" si="10"/>
        <v/>
      </c>
      <c r="DE23" s="24"/>
      <c r="DF23" s="24"/>
      <c r="DG23" s="24"/>
      <c r="DH23" s="24"/>
      <c r="DI23" s="24"/>
      <c r="DJ23" s="24"/>
      <c r="DK23" s="24"/>
      <c r="DL23" s="24"/>
      <c r="DM23" s="24"/>
      <c r="DN23" s="24"/>
      <c r="DO23" s="22" t="str">
        <f t="shared" si="11"/>
        <v/>
      </c>
      <c r="DR23" t="s">
        <v>117</v>
      </c>
      <c r="DZ23" s="23" t="str">
        <f t="shared" si="12"/>
        <v/>
      </c>
      <c r="EA23" s="24"/>
      <c r="EB23" s="24"/>
      <c r="EC23" s="24"/>
      <c r="ED23" s="24"/>
      <c r="EE23" s="24"/>
      <c r="EF23" s="24"/>
      <c r="EG23" s="24"/>
      <c r="EH23" s="24"/>
      <c r="EI23" s="24"/>
      <c r="EJ23" s="24"/>
      <c r="EK23" s="23" t="str">
        <f t="shared" si="13"/>
        <v/>
      </c>
      <c r="EL23" s="24"/>
      <c r="EM23" s="24"/>
      <c r="EN23" s="24"/>
      <c r="EO23" s="24"/>
      <c r="EP23" s="24"/>
      <c r="EQ23" s="24"/>
      <c r="ER23" s="24"/>
      <c r="ES23" s="24"/>
      <c r="ET23" s="24"/>
      <c r="EU23" s="24"/>
      <c r="EV23" s="23" t="str">
        <f t="shared" si="14"/>
        <v/>
      </c>
      <c r="EW23" s="24"/>
      <c r="EX23" s="24"/>
      <c r="EY23" s="24"/>
      <c r="EZ23" s="24"/>
      <c r="FA23" s="24"/>
      <c r="FB23" s="24"/>
      <c r="FC23" s="24"/>
      <c r="FD23" s="24"/>
      <c r="FE23" s="24"/>
      <c r="FF23" s="24"/>
      <c r="FG23" s="23" t="str">
        <f t="shared" si="15"/>
        <v/>
      </c>
      <c r="FH23" s="24"/>
      <c r="FI23" s="24"/>
      <c r="FJ23" s="24"/>
      <c r="FK23" s="24"/>
      <c r="FL23" s="24"/>
      <c r="FM23" s="24"/>
      <c r="FN23" s="24"/>
      <c r="FO23" s="24"/>
      <c r="FP23" s="24"/>
      <c r="FQ23" s="24"/>
    </row>
    <row r="24" spans="1:173" x14ac:dyDescent="0.25">
      <c r="A24">
        <v>4114</v>
      </c>
      <c r="B24" t="str">
        <f t="shared" si="0"/>
        <v>HMMU6773271|HDMUBKKM69382900</v>
      </c>
      <c r="C24" s="24">
        <v>46202.400023148148</v>
      </c>
      <c r="E24" t="s">
        <v>497</v>
      </c>
      <c r="F24" t="s">
        <v>434</v>
      </c>
      <c r="G24" t="s">
        <v>498</v>
      </c>
      <c r="H24" t="s">
        <v>499</v>
      </c>
      <c r="I24" s="22" t="str">
        <f t="shared" si="1"/>
        <v/>
      </c>
      <c r="J24" t="s">
        <v>499</v>
      </c>
      <c r="K24" t="s">
        <v>499</v>
      </c>
      <c r="L24" t="s">
        <v>117</v>
      </c>
      <c r="M24" t="s">
        <v>117</v>
      </c>
      <c r="N24" t="s">
        <v>499</v>
      </c>
      <c r="O24" t="s">
        <v>117</v>
      </c>
      <c r="P24" t="s">
        <v>117</v>
      </c>
      <c r="Q24" t="s">
        <v>117</v>
      </c>
      <c r="R24" t="s">
        <v>499</v>
      </c>
      <c r="S24" t="s">
        <v>117</v>
      </c>
      <c r="T24" s="22" t="str">
        <f t="shared" si="2"/>
        <v/>
      </c>
      <c r="U24" t="s">
        <v>500</v>
      </c>
      <c r="V24" t="s">
        <v>500</v>
      </c>
      <c r="X24" t="s">
        <v>117</v>
      </c>
      <c r="Y24" t="s">
        <v>500</v>
      </c>
      <c r="AA24" t="s">
        <v>117</v>
      </c>
      <c r="AB24" t="s">
        <v>117</v>
      </c>
      <c r="AC24" t="s">
        <v>667</v>
      </c>
      <c r="AE24" s="23" t="str">
        <f t="shared" si="3"/>
        <v/>
      </c>
      <c r="AF24" s="24">
        <v>46202</v>
      </c>
      <c r="AG24" s="24">
        <v>46202</v>
      </c>
      <c r="AH24" s="24"/>
      <c r="AI24" s="24"/>
      <c r="AJ24" s="24">
        <v>46202.343055555553</v>
      </c>
      <c r="AK24" s="24"/>
      <c r="AL24" s="24"/>
      <c r="AM24" s="24"/>
      <c r="AN24" s="24">
        <v>46201</v>
      </c>
      <c r="AO24" s="24"/>
      <c r="AP24" s="23" t="str">
        <f t="shared" si="4"/>
        <v/>
      </c>
      <c r="AQ24" s="24">
        <v>46247</v>
      </c>
      <c r="AR24" s="24">
        <v>46247</v>
      </c>
      <c r="AS24" s="24"/>
      <c r="AT24" s="24"/>
      <c r="AU24" s="24">
        <v>46247.791666666664</v>
      </c>
      <c r="AV24" s="24"/>
      <c r="AW24" s="24"/>
      <c r="AX24" s="24"/>
      <c r="AY24" s="24">
        <v>46247</v>
      </c>
      <c r="AZ24" s="24"/>
      <c r="BA24" s="23" t="str">
        <f t="shared" si="5"/>
        <v/>
      </c>
      <c r="BB24" s="24"/>
      <c r="BC24" s="24"/>
      <c r="BD24" s="24"/>
      <c r="BE24" s="24"/>
      <c r="BF24" s="24"/>
      <c r="BG24" s="24"/>
      <c r="BH24" s="24"/>
      <c r="BI24" s="24"/>
      <c r="BJ24" s="24"/>
      <c r="BK24" s="24"/>
      <c r="BL24" s="23" t="str">
        <f t="shared" si="6"/>
        <v/>
      </c>
      <c r="BM24" s="24">
        <v>46247</v>
      </c>
      <c r="BN24" s="24">
        <v>46247</v>
      </c>
      <c r="BO24" s="24"/>
      <c r="BP24" s="24"/>
      <c r="BQ24" s="24"/>
      <c r="BR24" s="24"/>
      <c r="BS24" s="24"/>
      <c r="BT24" s="24"/>
      <c r="BU24" s="24">
        <v>46248</v>
      </c>
      <c r="BV24" s="24"/>
      <c r="BW24" s="23" t="str">
        <f t="shared" si="7"/>
        <v/>
      </c>
      <c r="BX24" s="24"/>
      <c r="BY24" s="24"/>
      <c r="BZ24" s="24"/>
      <c r="CA24" s="24"/>
      <c r="CB24" s="24"/>
      <c r="CC24" s="24"/>
      <c r="CD24" s="24"/>
      <c r="CE24" s="24"/>
      <c r="CF24" s="24"/>
      <c r="CG24" s="24"/>
      <c r="CH24" s="23" t="str">
        <f t="shared" si="8"/>
        <v/>
      </c>
      <c r="CI24" s="24"/>
      <c r="CJ24" s="24"/>
      <c r="CK24" s="24"/>
      <c r="CL24" s="24"/>
      <c r="CM24" s="24"/>
      <c r="CN24" s="24"/>
      <c r="CO24" s="24"/>
      <c r="CP24" s="24"/>
      <c r="CQ24" s="24"/>
      <c r="CR24" s="24"/>
      <c r="CS24" s="23">
        <f t="shared" si="9"/>
        <v>46252</v>
      </c>
      <c r="CT24" s="24">
        <v>46252</v>
      </c>
      <c r="CU24" s="24">
        <v>46252</v>
      </c>
      <c r="CV24" s="24"/>
      <c r="CW24" s="24"/>
      <c r="CX24" s="24"/>
      <c r="CY24" s="24"/>
      <c r="CZ24" s="24"/>
      <c r="DA24" s="24"/>
      <c r="DB24" s="24"/>
      <c r="DC24" s="24"/>
      <c r="DD24" s="23" t="str">
        <f t="shared" si="10"/>
        <v/>
      </c>
      <c r="DE24" s="24"/>
      <c r="DF24" s="24"/>
      <c r="DG24" s="24"/>
      <c r="DH24" s="24"/>
      <c r="DI24" s="24"/>
      <c r="DJ24" s="24"/>
      <c r="DK24" s="24"/>
      <c r="DL24" s="24"/>
      <c r="DM24" s="24"/>
      <c r="DN24" s="24"/>
      <c r="DO24" s="22" t="str">
        <f t="shared" si="11"/>
        <v/>
      </c>
      <c r="DR24" t="s">
        <v>117</v>
      </c>
      <c r="DZ24" s="23" t="str">
        <f t="shared" si="12"/>
        <v/>
      </c>
      <c r="EA24" s="24"/>
      <c r="EB24" s="24"/>
      <c r="EC24" s="24"/>
      <c r="ED24" s="24"/>
      <c r="EE24" s="24"/>
      <c r="EF24" s="24"/>
      <c r="EG24" s="24"/>
      <c r="EH24" s="24"/>
      <c r="EI24" s="24"/>
      <c r="EJ24" s="24"/>
      <c r="EK24" s="23" t="str">
        <f t="shared" si="13"/>
        <v/>
      </c>
      <c r="EL24" s="24"/>
      <c r="EM24" s="24"/>
      <c r="EN24" s="24"/>
      <c r="EO24" s="24"/>
      <c r="EP24" s="24"/>
      <c r="EQ24" s="24"/>
      <c r="ER24" s="24"/>
      <c r="ES24" s="24"/>
      <c r="ET24" s="24"/>
      <c r="EU24" s="24"/>
      <c r="EV24" s="23" t="str">
        <f t="shared" si="14"/>
        <v/>
      </c>
      <c r="EW24" s="24"/>
      <c r="EX24" s="24"/>
      <c r="EY24" s="24"/>
      <c r="EZ24" s="24"/>
      <c r="FA24" s="24"/>
      <c r="FB24" s="24"/>
      <c r="FC24" s="24"/>
      <c r="FD24" s="24"/>
      <c r="FE24" s="24"/>
      <c r="FF24" s="24"/>
      <c r="FG24" s="23" t="str">
        <f t="shared" si="15"/>
        <v/>
      </c>
      <c r="FH24" s="24"/>
      <c r="FI24" s="24"/>
      <c r="FJ24" s="24"/>
      <c r="FK24" s="24"/>
      <c r="FL24" s="24"/>
      <c r="FM24" s="24"/>
      <c r="FN24" s="24"/>
      <c r="FO24" s="24"/>
      <c r="FP24" s="24"/>
      <c r="FQ24" s="24"/>
    </row>
    <row r="25" spans="1:173" x14ac:dyDescent="0.25">
      <c r="A25">
        <v>4115</v>
      </c>
      <c r="B25" t="str">
        <f t="shared" si="0"/>
        <v>KOCU4795107|HDMUBKKM69382900</v>
      </c>
      <c r="C25" s="24">
        <v>46202.405555555553</v>
      </c>
      <c r="E25" t="s">
        <v>501</v>
      </c>
      <c r="F25" t="s">
        <v>434</v>
      </c>
      <c r="G25" t="s">
        <v>502</v>
      </c>
      <c r="H25" t="s">
        <v>499</v>
      </c>
      <c r="I25" s="22" t="str">
        <f t="shared" si="1"/>
        <v/>
      </c>
      <c r="J25" t="s">
        <v>499</v>
      </c>
      <c r="K25" t="s">
        <v>499</v>
      </c>
      <c r="L25" t="s">
        <v>117</v>
      </c>
      <c r="M25" t="s">
        <v>117</v>
      </c>
      <c r="N25" t="s">
        <v>499</v>
      </c>
      <c r="O25" t="s">
        <v>117</v>
      </c>
      <c r="P25" t="s">
        <v>117</v>
      </c>
      <c r="Q25" t="s">
        <v>117</v>
      </c>
      <c r="R25" t="s">
        <v>499</v>
      </c>
      <c r="S25" t="s">
        <v>117</v>
      </c>
      <c r="T25" s="22" t="str">
        <f t="shared" si="2"/>
        <v/>
      </c>
      <c r="U25" t="s">
        <v>500</v>
      </c>
      <c r="V25" t="s">
        <v>500</v>
      </c>
      <c r="X25" t="s">
        <v>117</v>
      </c>
      <c r="Y25" t="s">
        <v>500</v>
      </c>
      <c r="AA25" t="s">
        <v>117</v>
      </c>
      <c r="AB25" t="s">
        <v>117</v>
      </c>
      <c r="AC25" t="s">
        <v>667</v>
      </c>
      <c r="AE25" s="23" t="str">
        <f t="shared" si="3"/>
        <v/>
      </c>
      <c r="AF25" s="24">
        <v>46202</v>
      </c>
      <c r="AG25" s="24">
        <v>46202</v>
      </c>
      <c r="AH25" s="24"/>
      <c r="AI25" s="24"/>
      <c r="AJ25" s="24">
        <v>46202.343055555553</v>
      </c>
      <c r="AK25" s="24"/>
      <c r="AL25" s="24"/>
      <c r="AM25" s="24"/>
      <c r="AN25" s="24">
        <v>46201</v>
      </c>
      <c r="AO25" s="24"/>
      <c r="AP25" s="23" t="str">
        <f t="shared" si="4"/>
        <v/>
      </c>
      <c r="AQ25" s="24">
        <v>46247</v>
      </c>
      <c r="AR25" s="24">
        <v>46247</v>
      </c>
      <c r="AS25" s="24"/>
      <c r="AT25" s="24"/>
      <c r="AU25" s="24">
        <v>46247.791666666664</v>
      </c>
      <c r="AV25" s="24"/>
      <c r="AW25" s="24"/>
      <c r="AX25" s="24"/>
      <c r="AY25" s="24">
        <v>46247</v>
      </c>
      <c r="AZ25" s="24"/>
      <c r="BA25" s="23" t="str">
        <f t="shared" si="5"/>
        <v/>
      </c>
      <c r="BB25" s="24"/>
      <c r="BC25" s="24"/>
      <c r="BD25" s="24"/>
      <c r="BE25" s="24"/>
      <c r="BF25" s="24"/>
      <c r="BG25" s="24"/>
      <c r="BH25" s="24"/>
      <c r="BI25" s="24"/>
      <c r="BJ25" s="24"/>
      <c r="BK25" s="24"/>
      <c r="BL25" s="23" t="str">
        <f t="shared" si="6"/>
        <v/>
      </c>
      <c r="BM25" s="24">
        <v>46247</v>
      </c>
      <c r="BN25" s="24">
        <v>46247</v>
      </c>
      <c r="BO25" s="24"/>
      <c r="BP25" s="24"/>
      <c r="BQ25" s="24"/>
      <c r="BR25" s="24"/>
      <c r="BS25" s="24"/>
      <c r="BT25" s="24"/>
      <c r="BU25" s="24">
        <v>46248</v>
      </c>
      <c r="BV25" s="24"/>
      <c r="BW25" s="23" t="str">
        <f t="shared" si="7"/>
        <v/>
      </c>
      <c r="BX25" s="24"/>
      <c r="BY25" s="24"/>
      <c r="BZ25" s="24"/>
      <c r="CA25" s="24"/>
      <c r="CB25" s="24"/>
      <c r="CC25" s="24"/>
      <c r="CD25" s="24"/>
      <c r="CE25" s="24"/>
      <c r="CF25" s="24"/>
      <c r="CG25" s="24"/>
      <c r="CH25" s="23" t="str">
        <f t="shared" si="8"/>
        <v/>
      </c>
      <c r="CI25" s="24"/>
      <c r="CJ25" s="24"/>
      <c r="CK25" s="24"/>
      <c r="CL25" s="24"/>
      <c r="CM25" s="24"/>
      <c r="CN25" s="24"/>
      <c r="CO25" s="24"/>
      <c r="CP25" s="24"/>
      <c r="CQ25" s="24"/>
      <c r="CR25" s="24"/>
      <c r="CS25" s="23">
        <f t="shared" si="9"/>
        <v>46252</v>
      </c>
      <c r="CT25" s="24">
        <v>46252</v>
      </c>
      <c r="CU25" s="24">
        <v>46252</v>
      </c>
      <c r="CV25" s="24"/>
      <c r="CW25" s="24"/>
      <c r="CX25" s="24"/>
      <c r="CY25" s="24"/>
      <c r="CZ25" s="24"/>
      <c r="DA25" s="24"/>
      <c r="DB25" s="24"/>
      <c r="DC25" s="24"/>
      <c r="DD25" s="23" t="str">
        <f t="shared" si="10"/>
        <v/>
      </c>
      <c r="DE25" s="24"/>
      <c r="DF25" s="24"/>
      <c r="DG25" s="24"/>
      <c r="DH25" s="24"/>
      <c r="DI25" s="24"/>
      <c r="DJ25" s="24"/>
      <c r="DK25" s="24"/>
      <c r="DL25" s="24"/>
      <c r="DM25" s="24"/>
      <c r="DN25" s="24"/>
      <c r="DO25" s="22" t="str">
        <f t="shared" si="11"/>
        <v/>
      </c>
      <c r="DR25" t="s">
        <v>117</v>
      </c>
      <c r="DZ25" s="23" t="str">
        <f t="shared" si="12"/>
        <v/>
      </c>
      <c r="EA25" s="24"/>
      <c r="EB25" s="24"/>
      <c r="EC25" s="24"/>
      <c r="ED25" s="24"/>
      <c r="EE25" s="24"/>
      <c r="EF25" s="24"/>
      <c r="EG25" s="24"/>
      <c r="EH25" s="24"/>
      <c r="EI25" s="24"/>
      <c r="EJ25" s="24"/>
      <c r="EK25" s="23" t="str">
        <f t="shared" si="13"/>
        <v/>
      </c>
      <c r="EL25" s="24"/>
      <c r="EM25" s="24"/>
      <c r="EN25" s="24"/>
      <c r="EO25" s="24"/>
      <c r="EP25" s="24"/>
      <c r="EQ25" s="24"/>
      <c r="ER25" s="24"/>
      <c r="ES25" s="24"/>
      <c r="ET25" s="24"/>
      <c r="EU25" s="24"/>
      <c r="EV25" s="23" t="str">
        <f t="shared" si="14"/>
        <v/>
      </c>
      <c r="EW25" s="24"/>
      <c r="EX25" s="24"/>
      <c r="EY25" s="24"/>
      <c r="EZ25" s="24"/>
      <c r="FA25" s="24"/>
      <c r="FB25" s="24"/>
      <c r="FC25" s="24"/>
      <c r="FD25" s="24"/>
      <c r="FE25" s="24"/>
      <c r="FF25" s="24"/>
      <c r="FG25" s="23" t="str">
        <f t="shared" si="15"/>
        <v/>
      </c>
      <c r="FH25" s="24"/>
      <c r="FI25" s="24"/>
      <c r="FJ25" s="24"/>
      <c r="FK25" s="24"/>
      <c r="FL25" s="24"/>
      <c r="FM25" s="24"/>
      <c r="FN25" s="24"/>
      <c r="FO25" s="24"/>
      <c r="FP25" s="24"/>
      <c r="FQ25" s="24"/>
    </row>
    <row r="26" spans="1:173" x14ac:dyDescent="0.25">
      <c r="A26">
        <v>4116</v>
      </c>
      <c r="B26" t="str">
        <f t="shared" si="0"/>
        <v>HMMU6503276|HDMUBKKM69382900</v>
      </c>
      <c r="C26" s="24">
        <v>46202.408831018518</v>
      </c>
      <c r="E26" t="s">
        <v>503</v>
      </c>
      <c r="F26" t="s">
        <v>434</v>
      </c>
      <c r="G26" t="s">
        <v>504</v>
      </c>
      <c r="H26" t="s">
        <v>499</v>
      </c>
      <c r="I26" s="22" t="str">
        <f t="shared" si="1"/>
        <v/>
      </c>
      <c r="J26" t="s">
        <v>499</v>
      </c>
      <c r="K26" t="s">
        <v>499</v>
      </c>
      <c r="L26" t="s">
        <v>117</v>
      </c>
      <c r="M26" t="s">
        <v>117</v>
      </c>
      <c r="N26" t="s">
        <v>499</v>
      </c>
      <c r="O26" t="s">
        <v>117</v>
      </c>
      <c r="P26" t="s">
        <v>117</v>
      </c>
      <c r="Q26" t="s">
        <v>117</v>
      </c>
      <c r="R26" t="s">
        <v>499</v>
      </c>
      <c r="S26" t="s">
        <v>117</v>
      </c>
      <c r="T26" s="22" t="str">
        <f t="shared" si="2"/>
        <v/>
      </c>
      <c r="U26" t="s">
        <v>500</v>
      </c>
      <c r="V26" t="s">
        <v>500</v>
      </c>
      <c r="X26" t="s">
        <v>117</v>
      </c>
      <c r="Y26" t="s">
        <v>500</v>
      </c>
      <c r="AA26" t="s">
        <v>117</v>
      </c>
      <c r="AB26" t="s">
        <v>117</v>
      </c>
      <c r="AC26" t="s">
        <v>667</v>
      </c>
      <c r="AE26" s="23" t="str">
        <f t="shared" si="3"/>
        <v/>
      </c>
      <c r="AF26" s="24">
        <v>46202</v>
      </c>
      <c r="AG26" s="24">
        <v>46202</v>
      </c>
      <c r="AH26" s="24"/>
      <c r="AI26" s="24"/>
      <c r="AJ26" s="24">
        <v>46202.343055555553</v>
      </c>
      <c r="AK26" s="24"/>
      <c r="AL26" s="24"/>
      <c r="AM26" s="24"/>
      <c r="AN26" s="24">
        <v>46201</v>
      </c>
      <c r="AO26" s="24"/>
      <c r="AP26" s="23" t="str">
        <f t="shared" si="4"/>
        <v/>
      </c>
      <c r="AQ26" s="24">
        <v>46247</v>
      </c>
      <c r="AR26" s="24">
        <v>46247</v>
      </c>
      <c r="AS26" s="24"/>
      <c r="AT26" s="24"/>
      <c r="AU26" s="24">
        <v>46247.791666666664</v>
      </c>
      <c r="AV26" s="24"/>
      <c r="AW26" s="24"/>
      <c r="AX26" s="24"/>
      <c r="AY26" s="24">
        <v>46247</v>
      </c>
      <c r="AZ26" s="24"/>
      <c r="BA26" s="23" t="str">
        <f t="shared" si="5"/>
        <v/>
      </c>
      <c r="BB26" s="24"/>
      <c r="BC26" s="24"/>
      <c r="BD26" s="24"/>
      <c r="BE26" s="24"/>
      <c r="BF26" s="24"/>
      <c r="BG26" s="24"/>
      <c r="BH26" s="24"/>
      <c r="BI26" s="24"/>
      <c r="BJ26" s="24"/>
      <c r="BK26" s="24"/>
      <c r="BL26" s="23" t="str">
        <f t="shared" si="6"/>
        <v/>
      </c>
      <c r="BM26" s="24">
        <v>46247</v>
      </c>
      <c r="BN26" s="24">
        <v>46247</v>
      </c>
      <c r="BO26" s="24"/>
      <c r="BP26" s="24"/>
      <c r="BQ26" s="24"/>
      <c r="BR26" s="24"/>
      <c r="BS26" s="24"/>
      <c r="BT26" s="24"/>
      <c r="BU26" s="24">
        <v>46248</v>
      </c>
      <c r="BV26" s="24"/>
      <c r="BW26" s="23" t="str">
        <f t="shared" si="7"/>
        <v/>
      </c>
      <c r="BX26" s="24"/>
      <c r="BY26" s="24"/>
      <c r="BZ26" s="24"/>
      <c r="CA26" s="24"/>
      <c r="CB26" s="24"/>
      <c r="CC26" s="24"/>
      <c r="CD26" s="24"/>
      <c r="CE26" s="24"/>
      <c r="CF26" s="24"/>
      <c r="CG26" s="24"/>
      <c r="CH26" s="23" t="str">
        <f t="shared" si="8"/>
        <v/>
      </c>
      <c r="CI26" s="24"/>
      <c r="CJ26" s="24"/>
      <c r="CK26" s="24"/>
      <c r="CL26" s="24"/>
      <c r="CM26" s="24"/>
      <c r="CN26" s="24"/>
      <c r="CO26" s="24"/>
      <c r="CP26" s="24"/>
      <c r="CQ26" s="24"/>
      <c r="CR26" s="24"/>
      <c r="CS26" s="23">
        <f t="shared" si="9"/>
        <v>46252</v>
      </c>
      <c r="CT26" s="24">
        <v>46252</v>
      </c>
      <c r="CU26" s="24">
        <v>46252</v>
      </c>
      <c r="CV26" s="24"/>
      <c r="CW26" s="24"/>
      <c r="CX26" s="24"/>
      <c r="CY26" s="24"/>
      <c r="CZ26" s="24"/>
      <c r="DA26" s="24"/>
      <c r="DB26" s="24"/>
      <c r="DC26" s="24"/>
      <c r="DD26" s="23" t="str">
        <f t="shared" si="10"/>
        <v/>
      </c>
      <c r="DE26" s="24"/>
      <c r="DF26" s="24"/>
      <c r="DG26" s="24"/>
      <c r="DH26" s="24"/>
      <c r="DI26" s="24"/>
      <c r="DJ26" s="24"/>
      <c r="DK26" s="24"/>
      <c r="DL26" s="24"/>
      <c r="DM26" s="24"/>
      <c r="DN26" s="24"/>
      <c r="DO26" s="22" t="str">
        <f t="shared" si="11"/>
        <v/>
      </c>
      <c r="DR26" t="s">
        <v>117</v>
      </c>
      <c r="DZ26" s="23" t="str">
        <f t="shared" si="12"/>
        <v/>
      </c>
      <c r="EA26" s="24"/>
      <c r="EB26" s="24"/>
      <c r="EC26" s="24"/>
      <c r="ED26" s="24"/>
      <c r="EE26" s="24"/>
      <c r="EF26" s="24"/>
      <c r="EG26" s="24"/>
      <c r="EH26" s="24"/>
      <c r="EI26" s="24"/>
      <c r="EJ26" s="24"/>
      <c r="EK26" s="23" t="str">
        <f t="shared" si="13"/>
        <v/>
      </c>
      <c r="EL26" s="24"/>
      <c r="EM26" s="24"/>
      <c r="EN26" s="24"/>
      <c r="EO26" s="24"/>
      <c r="EP26" s="24"/>
      <c r="EQ26" s="24"/>
      <c r="ER26" s="24"/>
      <c r="ES26" s="24"/>
      <c r="ET26" s="24"/>
      <c r="EU26" s="24"/>
      <c r="EV26" s="23" t="str">
        <f t="shared" si="14"/>
        <v/>
      </c>
      <c r="EW26" s="24"/>
      <c r="EX26" s="24"/>
      <c r="EY26" s="24"/>
      <c r="EZ26" s="24"/>
      <c r="FA26" s="24"/>
      <c r="FB26" s="24"/>
      <c r="FC26" s="24"/>
      <c r="FD26" s="24"/>
      <c r="FE26" s="24"/>
      <c r="FF26" s="24"/>
      <c r="FG26" s="23" t="str">
        <f t="shared" si="15"/>
        <v/>
      </c>
      <c r="FH26" s="24"/>
      <c r="FI26" s="24"/>
      <c r="FJ26" s="24"/>
      <c r="FK26" s="24"/>
      <c r="FL26" s="24"/>
      <c r="FM26" s="24"/>
      <c r="FN26" s="24"/>
      <c r="FO26" s="24"/>
      <c r="FP26" s="24"/>
      <c r="FQ26" s="24"/>
    </row>
    <row r="27" spans="1:173" x14ac:dyDescent="0.25">
      <c r="A27">
        <v>4117</v>
      </c>
      <c r="B27" t="str">
        <f t="shared" si="0"/>
        <v>ONEU6805755|MULAX2660175</v>
      </c>
      <c r="C27" s="24">
        <v>46203.446539351855</v>
      </c>
      <c r="E27" t="s">
        <v>505</v>
      </c>
      <c r="F27" t="s">
        <v>419</v>
      </c>
      <c r="G27" t="s">
        <v>506</v>
      </c>
      <c r="H27" t="s">
        <v>507</v>
      </c>
      <c r="I27" s="22" t="str">
        <f t="shared" si="1"/>
        <v/>
      </c>
      <c r="J27" t="s">
        <v>508</v>
      </c>
      <c r="K27" t="s">
        <v>117</v>
      </c>
      <c r="L27" t="s">
        <v>117</v>
      </c>
      <c r="M27" t="s">
        <v>117</v>
      </c>
      <c r="N27" t="s">
        <v>117</v>
      </c>
      <c r="O27" t="s">
        <v>117</v>
      </c>
      <c r="P27" t="s">
        <v>117</v>
      </c>
      <c r="Q27" t="s">
        <v>508</v>
      </c>
      <c r="R27" t="s">
        <v>117</v>
      </c>
      <c r="S27" t="s">
        <v>117</v>
      </c>
      <c r="T27" s="22" t="str">
        <f t="shared" si="2"/>
        <v/>
      </c>
      <c r="U27" t="s">
        <v>509</v>
      </c>
      <c r="V27" t="s">
        <v>117</v>
      </c>
      <c r="X27" t="s">
        <v>117</v>
      </c>
      <c r="Y27" t="s">
        <v>117</v>
      </c>
      <c r="AA27" t="s">
        <v>117</v>
      </c>
      <c r="AB27" t="s">
        <v>657</v>
      </c>
      <c r="AC27" t="s">
        <v>117</v>
      </c>
      <c r="AE27" s="23" t="str">
        <f t="shared" si="3"/>
        <v/>
      </c>
      <c r="AF27" s="24">
        <v>46204</v>
      </c>
      <c r="AG27" s="24"/>
      <c r="AH27" s="24"/>
      <c r="AI27" s="24"/>
      <c r="AJ27" s="24"/>
      <c r="AK27" s="24"/>
      <c r="AL27" s="24"/>
      <c r="AM27" s="24">
        <v>46204</v>
      </c>
      <c r="AN27" s="24"/>
      <c r="AO27" s="24"/>
      <c r="AP27" s="23" t="str">
        <f t="shared" si="4"/>
        <v/>
      </c>
      <c r="AQ27" s="24">
        <v>46242</v>
      </c>
      <c r="AR27" s="24"/>
      <c r="AS27" s="24"/>
      <c r="AT27" s="24"/>
      <c r="AU27" s="24"/>
      <c r="AV27" s="24"/>
      <c r="AW27" s="24"/>
      <c r="AX27" s="24">
        <v>46242</v>
      </c>
      <c r="AY27" s="24"/>
      <c r="AZ27" s="24"/>
      <c r="BA27" s="23" t="str">
        <f t="shared" si="5"/>
        <v/>
      </c>
      <c r="BB27" s="24"/>
      <c r="BC27" s="24"/>
      <c r="BD27" s="24"/>
      <c r="BE27" s="24"/>
      <c r="BF27" s="24"/>
      <c r="BG27" s="24"/>
      <c r="BH27" s="24"/>
      <c r="BI27" s="24"/>
      <c r="BJ27" s="24"/>
      <c r="BK27" s="24"/>
      <c r="BL27" s="23" t="str">
        <f t="shared" si="6"/>
        <v/>
      </c>
      <c r="BM27" s="24"/>
      <c r="BN27" s="24"/>
      <c r="BO27" s="24"/>
      <c r="BP27" s="24"/>
      <c r="BQ27" s="24"/>
      <c r="BR27" s="24"/>
      <c r="BS27" s="24"/>
      <c r="BT27" s="24"/>
      <c r="BU27" s="24"/>
      <c r="BV27" s="24"/>
      <c r="BW27" s="23" t="str">
        <f t="shared" si="7"/>
        <v/>
      </c>
      <c r="BX27" s="24"/>
      <c r="BY27" s="24"/>
      <c r="BZ27" s="24"/>
      <c r="CA27" s="24"/>
      <c r="CB27" s="24"/>
      <c r="CC27" s="24"/>
      <c r="CD27" s="24"/>
      <c r="CE27" s="24"/>
      <c r="CF27" s="24"/>
      <c r="CG27" s="24"/>
      <c r="CH27" s="23" t="str">
        <f t="shared" si="8"/>
        <v/>
      </c>
      <c r="CI27" s="24"/>
      <c r="CJ27" s="24"/>
      <c r="CK27" s="24"/>
      <c r="CL27" s="24"/>
      <c r="CM27" s="24"/>
      <c r="CN27" s="24"/>
      <c r="CO27" s="24"/>
      <c r="CP27" s="24"/>
      <c r="CQ27" s="24"/>
      <c r="CR27" s="24"/>
      <c r="CS27" s="23">
        <f t="shared" si="9"/>
        <v>46252</v>
      </c>
      <c r="CT27" s="24">
        <v>46252</v>
      </c>
      <c r="CU27" s="24"/>
      <c r="CV27" s="24"/>
      <c r="CW27" s="24"/>
      <c r="CX27" s="24"/>
      <c r="CY27" s="24"/>
      <c r="CZ27" s="24"/>
      <c r="DA27" s="24"/>
      <c r="DB27" s="24"/>
      <c r="DC27" s="24"/>
      <c r="DD27" s="23" t="str">
        <f t="shared" si="10"/>
        <v/>
      </c>
      <c r="DE27" s="24"/>
      <c r="DF27" s="24"/>
      <c r="DG27" s="24"/>
      <c r="DH27" s="24"/>
      <c r="DI27" s="24"/>
      <c r="DJ27" s="24"/>
      <c r="DK27" s="24"/>
      <c r="DL27" s="24"/>
      <c r="DM27" s="24"/>
      <c r="DN27" s="24"/>
      <c r="DO27" s="22" t="str">
        <f t="shared" si="11"/>
        <v/>
      </c>
      <c r="DR27" t="s">
        <v>117</v>
      </c>
      <c r="DZ27" s="23" t="str">
        <f t="shared" si="12"/>
        <v/>
      </c>
      <c r="EA27" s="24"/>
      <c r="EB27" s="24"/>
      <c r="EC27" s="24"/>
      <c r="ED27" s="24"/>
      <c r="EE27" s="24"/>
      <c r="EF27" s="24"/>
      <c r="EG27" s="24"/>
      <c r="EH27" s="24"/>
      <c r="EI27" s="24"/>
      <c r="EJ27" s="24"/>
      <c r="EK27" s="23" t="str">
        <f t="shared" si="13"/>
        <v/>
      </c>
      <c r="EL27" s="24"/>
      <c r="EM27" s="24"/>
      <c r="EN27" s="24"/>
      <c r="EO27" s="24"/>
      <c r="EP27" s="24"/>
      <c r="EQ27" s="24"/>
      <c r="ER27" s="24"/>
      <c r="ES27" s="24"/>
      <c r="ET27" s="24"/>
      <c r="EU27" s="24"/>
      <c r="EV27" s="23" t="str">
        <f t="shared" si="14"/>
        <v/>
      </c>
      <c r="EW27" s="24"/>
      <c r="EX27" s="24"/>
      <c r="EY27" s="24"/>
      <c r="EZ27" s="24"/>
      <c r="FA27" s="24"/>
      <c r="FB27" s="24"/>
      <c r="FC27" s="24"/>
      <c r="FD27" s="24"/>
      <c r="FE27" s="24"/>
      <c r="FF27" s="24"/>
      <c r="FG27" s="23" t="str">
        <f t="shared" si="15"/>
        <v/>
      </c>
      <c r="FH27" s="24"/>
      <c r="FI27" s="24"/>
      <c r="FJ27" s="24"/>
      <c r="FK27" s="24"/>
      <c r="FL27" s="24"/>
      <c r="FM27" s="24"/>
      <c r="FN27" s="24"/>
      <c r="FO27" s="24"/>
      <c r="FP27" s="24"/>
      <c r="FQ27" s="24"/>
    </row>
    <row r="28" spans="1:173" x14ac:dyDescent="0.25">
      <c r="A28">
        <v>4122</v>
      </c>
      <c r="B28" t="str">
        <f t="shared" si="0"/>
        <v>WHSU8880589|WHLC035GX42109</v>
      </c>
      <c r="C28" s="24">
        <v>46205.366423611114</v>
      </c>
      <c r="E28" t="s">
        <v>510</v>
      </c>
      <c r="F28" t="s">
        <v>434</v>
      </c>
      <c r="G28" t="s">
        <v>511</v>
      </c>
      <c r="H28" t="s">
        <v>512</v>
      </c>
      <c r="I28" s="22" t="str">
        <f t="shared" si="1"/>
        <v/>
      </c>
      <c r="J28" t="s">
        <v>512</v>
      </c>
      <c r="K28" t="s">
        <v>512</v>
      </c>
      <c r="L28" t="s">
        <v>117</v>
      </c>
      <c r="M28" t="s">
        <v>117</v>
      </c>
      <c r="N28" t="s">
        <v>512</v>
      </c>
      <c r="O28" t="s">
        <v>117</v>
      </c>
      <c r="P28" t="s">
        <v>117</v>
      </c>
      <c r="Q28" t="s">
        <v>117</v>
      </c>
      <c r="R28" t="s">
        <v>512</v>
      </c>
      <c r="S28" t="s">
        <v>117</v>
      </c>
      <c r="T28" s="22" t="str">
        <f t="shared" si="2"/>
        <v/>
      </c>
      <c r="U28" t="s">
        <v>513</v>
      </c>
      <c r="V28" t="s">
        <v>513</v>
      </c>
      <c r="X28" t="s">
        <v>117</v>
      </c>
      <c r="Y28" t="s">
        <v>513</v>
      </c>
      <c r="AA28" t="s">
        <v>117</v>
      </c>
      <c r="AB28" t="s">
        <v>117</v>
      </c>
      <c r="AC28" t="s">
        <v>524</v>
      </c>
      <c r="AE28" s="23" t="str">
        <f t="shared" si="3"/>
        <v/>
      </c>
      <c r="AF28" s="24">
        <v>46214</v>
      </c>
      <c r="AG28" s="24">
        <v>46214</v>
      </c>
      <c r="AH28" s="24"/>
      <c r="AI28" s="24"/>
      <c r="AJ28" s="24"/>
      <c r="AK28" s="24"/>
      <c r="AL28" s="24"/>
      <c r="AM28" s="24"/>
      <c r="AN28" s="24">
        <v>46214</v>
      </c>
      <c r="AO28" s="24"/>
      <c r="AP28" s="23">
        <f t="shared" si="4"/>
        <v>46253</v>
      </c>
      <c r="AQ28" s="24">
        <v>46254</v>
      </c>
      <c r="AR28" s="24">
        <v>46253</v>
      </c>
      <c r="AS28" s="24"/>
      <c r="AT28" s="24"/>
      <c r="AU28" s="24">
        <v>46253.75</v>
      </c>
      <c r="AV28" s="24"/>
      <c r="AW28" s="24"/>
      <c r="AX28" s="24"/>
      <c r="AY28" s="24">
        <v>46254</v>
      </c>
      <c r="AZ28" s="24"/>
      <c r="BA28" s="23" t="str">
        <f t="shared" si="5"/>
        <v/>
      </c>
      <c r="BB28" s="24"/>
      <c r="BC28" s="24"/>
      <c r="BD28" s="24"/>
      <c r="BE28" s="24"/>
      <c r="BF28" s="24"/>
      <c r="BG28" s="24"/>
      <c r="BH28" s="24"/>
      <c r="BI28" s="24"/>
      <c r="BJ28" s="24"/>
      <c r="BK28" s="24"/>
      <c r="BL28" s="23">
        <f t="shared" si="6"/>
        <v>46253</v>
      </c>
      <c r="BM28" s="24">
        <v>46254</v>
      </c>
      <c r="BN28" s="24">
        <v>46253</v>
      </c>
      <c r="BO28" s="24"/>
      <c r="BP28" s="24"/>
      <c r="BQ28" s="24"/>
      <c r="BR28" s="24"/>
      <c r="BS28" s="24"/>
      <c r="BT28" s="24"/>
      <c r="BU28" s="24">
        <v>46254</v>
      </c>
      <c r="BV28" s="24"/>
      <c r="BW28" s="23" t="str">
        <f t="shared" si="7"/>
        <v/>
      </c>
      <c r="BX28" s="24"/>
      <c r="BY28" s="24"/>
      <c r="BZ28" s="24"/>
      <c r="CA28" s="24"/>
      <c r="CB28" s="24"/>
      <c r="CC28" s="24"/>
      <c r="CD28" s="24"/>
      <c r="CE28" s="24"/>
      <c r="CF28" s="24"/>
      <c r="CG28" s="24"/>
      <c r="CH28" s="23" t="str">
        <f t="shared" si="8"/>
        <v/>
      </c>
      <c r="CI28" s="24"/>
      <c r="CJ28" s="24"/>
      <c r="CK28" s="24"/>
      <c r="CL28" s="24"/>
      <c r="CM28" s="24"/>
      <c r="CN28" s="24"/>
      <c r="CO28" s="24"/>
      <c r="CP28" s="24"/>
      <c r="CQ28" s="24"/>
      <c r="CR28" s="24"/>
      <c r="CS28" s="23">
        <f t="shared" si="9"/>
        <v>46258</v>
      </c>
      <c r="CT28" s="24">
        <v>46259</v>
      </c>
      <c r="CU28" s="24">
        <v>46258</v>
      </c>
      <c r="CV28" s="24"/>
      <c r="CW28" s="24"/>
      <c r="CX28" s="24"/>
      <c r="CY28" s="24"/>
      <c r="CZ28" s="24"/>
      <c r="DA28" s="24"/>
      <c r="DB28" s="24"/>
      <c r="DC28" s="24"/>
      <c r="DD28" s="23" t="str">
        <f t="shared" si="10"/>
        <v/>
      </c>
      <c r="DE28" s="24"/>
      <c r="DF28" s="24"/>
      <c r="DG28" s="24"/>
      <c r="DH28" s="24"/>
      <c r="DI28" s="24"/>
      <c r="DJ28" s="24"/>
      <c r="DK28" s="24"/>
      <c r="DL28" s="24"/>
      <c r="DM28" s="24"/>
      <c r="DN28" s="24"/>
      <c r="DO28" s="22" t="str">
        <f t="shared" si="11"/>
        <v/>
      </c>
      <c r="DR28" t="s">
        <v>117</v>
      </c>
      <c r="DZ28" s="23" t="str">
        <f t="shared" si="12"/>
        <v/>
      </c>
      <c r="EA28" s="24"/>
      <c r="EB28" s="24"/>
      <c r="EC28" s="24"/>
      <c r="ED28" s="24"/>
      <c r="EE28" s="24"/>
      <c r="EF28" s="24"/>
      <c r="EG28" s="24"/>
      <c r="EH28" s="24"/>
      <c r="EI28" s="24"/>
      <c r="EJ28" s="24"/>
      <c r="EK28" s="23" t="str">
        <f t="shared" si="13"/>
        <v/>
      </c>
      <c r="EL28" s="24"/>
      <c r="EM28" s="24"/>
      <c r="EN28" s="24"/>
      <c r="EO28" s="24"/>
      <c r="EP28" s="24"/>
      <c r="EQ28" s="24"/>
      <c r="ER28" s="24"/>
      <c r="ES28" s="24"/>
      <c r="ET28" s="24"/>
      <c r="EU28" s="24"/>
      <c r="EV28" s="23" t="str">
        <f t="shared" si="14"/>
        <v/>
      </c>
      <c r="EW28" s="24"/>
      <c r="EX28" s="24"/>
      <c r="EY28" s="24"/>
      <c r="EZ28" s="24"/>
      <c r="FA28" s="24"/>
      <c r="FB28" s="24"/>
      <c r="FC28" s="24"/>
      <c r="FD28" s="24"/>
      <c r="FE28" s="24"/>
      <c r="FF28" s="24"/>
      <c r="FG28" s="23" t="str">
        <f t="shared" si="15"/>
        <v/>
      </c>
      <c r="FH28" s="24"/>
      <c r="FI28" s="24"/>
      <c r="FJ28" s="24"/>
      <c r="FK28" s="24"/>
      <c r="FL28" s="24"/>
      <c r="FM28" s="24"/>
      <c r="FN28" s="24"/>
      <c r="FO28" s="24"/>
      <c r="FP28" s="24"/>
      <c r="FQ28" s="24"/>
    </row>
    <row r="29" spans="1:173" x14ac:dyDescent="0.25">
      <c r="A29">
        <v>4123</v>
      </c>
      <c r="B29" t="str">
        <f t="shared" si="0"/>
        <v>WHSU5515453|WHLC035GX42109</v>
      </c>
      <c r="C29" s="24">
        <v>46205.377152777779</v>
      </c>
      <c r="E29" t="s">
        <v>514</v>
      </c>
      <c r="F29" t="s">
        <v>434</v>
      </c>
      <c r="G29" t="s">
        <v>515</v>
      </c>
      <c r="H29" t="s">
        <v>512</v>
      </c>
      <c r="I29" s="22" t="str">
        <f t="shared" si="1"/>
        <v/>
      </c>
      <c r="J29" t="s">
        <v>512</v>
      </c>
      <c r="K29" t="s">
        <v>512</v>
      </c>
      <c r="L29" t="s">
        <v>117</v>
      </c>
      <c r="M29" t="s">
        <v>117</v>
      </c>
      <c r="N29" t="s">
        <v>512</v>
      </c>
      <c r="O29" t="s">
        <v>117</v>
      </c>
      <c r="P29" t="s">
        <v>117</v>
      </c>
      <c r="Q29" t="s">
        <v>117</v>
      </c>
      <c r="R29" t="s">
        <v>512</v>
      </c>
      <c r="S29" t="s">
        <v>117</v>
      </c>
      <c r="T29" s="22" t="str">
        <f t="shared" si="2"/>
        <v/>
      </c>
      <c r="U29" t="s">
        <v>513</v>
      </c>
      <c r="V29" t="s">
        <v>513</v>
      </c>
      <c r="X29" t="s">
        <v>117</v>
      </c>
      <c r="Y29" t="s">
        <v>513</v>
      </c>
      <c r="AA29" t="s">
        <v>117</v>
      </c>
      <c r="AB29" t="s">
        <v>117</v>
      </c>
      <c r="AC29" t="s">
        <v>524</v>
      </c>
      <c r="AE29" s="23" t="str">
        <f t="shared" si="3"/>
        <v/>
      </c>
      <c r="AF29" s="24">
        <v>46214</v>
      </c>
      <c r="AG29" s="24">
        <v>46214</v>
      </c>
      <c r="AH29" s="24"/>
      <c r="AI29" s="24"/>
      <c r="AJ29" s="24"/>
      <c r="AK29" s="24"/>
      <c r="AL29" s="24"/>
      <c r="AM29" s="24"/>
      <c r="AN29" s="24">
        <v>46214</v>
      </c>
      <c r="AO29" s="24"/>
      <c r="AP29" s="23">
        <f t="shared" si="4"/>
        <v>46253</v>
      </c>
      <c r="AQ29" s="24">
        <v>46254</v>
      </c>
      <c r="AR29" s="24">
        <v>46253</v>
      </c>
      <c r="AS29" s="24"/>
      <c r="AT29" s="24"/>
      <c r="AU29" s="24">
        <v>46253.75</v>
      </c>
      <c r="AV29" s="24"/>
      <c r="AW29" s="24"/>
      <c r="AX29" s="24"/>
      <c r="AY29" s="24">
        <v>46254</v>
      </c>
      <c r="AZ29" s="24"/>
      <c r="BA29" s="23" t="str">
        <f t="shared" si="5"/>
        <v/>
      </c>
      <c r="BB29" s="24"/>
      <c r="BC29" s="24"/>
      <c r="BD29" s="24"/>
      <c r="BE29" s="24"/>
      <c r="BF29" s="24"/>
      <c r="BG29" s="24"/>
      <c r="BH29" s="24"/>
      <c r="BI29" s="24"/>
      <c r="BJ29" s="24"/>
      <c r="BK29" s="24"/>
      <c r="BL29" s="23">
        <f t="shared" si="6"/>
        <v>46253</v>
      </c>
      <c r="BM29" s="24">
        <v>46254</v>
      </c>
      <c r="BN29" s="24">
        <v>46253</v>
      </c>
      <c r="BO29" s="24"/>
      <c r="BP29" s="24"/>
      <c r="BQ29" s="24"/>
      <c r="BR29" s="24"/>
      <c r="BS29" s="24"/>
      <c r="BT29" s="24"/>
      <c r="BU29" s="24">
        <v>46254</v>
      </c>
      <c r="BV29" s="24"/>
      <c r="BW29" s="23" t="str">
        <f t="shared" si="7"/>
        <v/>
      </c>
      <c r="BX29" s="24"/>
      <c r="BY29" s="24"/>
      <c r="BZ29" s="24"/>
      <c r="CA29" s="24"/>
      <c r="CB29" s="24"/>
      <c r="CC29" s="24"/>
      <c r="CD29" s="24"/>
      <c r="CE29" s="24"/>
      <c r="CF29" s="24"/>
      <c r="CG29" s="24"/>
      <c r="CH29" s="23" t="str">
        <f t="shared" si="8"/>
        <v/>
      </c>
      <c r="CI29" s="24"/>
      <c r="CJ29" s="24"/>
      <c r="CK29" s="24"/>
      <c r="CL29" s="24"/>
      <c r="CM29" s="24"/>
      <c r="CN29" s="24"/>
      <c r="CO29" s="24"/>
      <c r="CP29" s="24"/>
      <c r="CQ29" s="24"/>
      <c r="CR29" s="24"/>
      <c r="CS29" s="23">
        <f t="shared" si="9"/>
        <v>46258</v>
      </c>
      <c r="CT29" s="24">
        <v>46259</v>
      </c>
      <c r="CU29" s="24">
        <v>46258</v>
      </c>
      <c r="CV29" s="24"/>
      <c r="CW29" s="24"/>
      <c r="CX29" s="24"/>
      <c r="CY29" s="24"/>
      <c r="CZ29" s="24"/>
      <c r="DA29" s="24"/>
      <c r="DB29" s="24"/>
      <c r="DC29" s="24"/>
      <c r="DD29" s="23" t="str">
        <f t="shared" si="10"/>
        <v/>
      </c>
      <c r="DE29" s="24"/>
      <c r="DF29" s="24"/>
      <c r="DG29" s="24"/>
      <c r="DH29" s="24"/>
      <c r="DI29" s="24"/>
      <c r="DJ29" s="24"/>
      <c r="DK29" s="24"/>
      <c r="DL29" s="24"/>
      <c r="DM29" s="24"/>
      <c r="DN29" s="24"/>
      <c r="DO29" s="22" t="str">
        <f t="shared" si="11"/>
        <v/>
      </c>
      <c r="DR29" t="s">
        <v>117</v>
      </c>
      <c r="DZ29" s="23" t="str">
        <f t="shared" si="12"/>
        <v/>
      </c>
      <c r="EA29" s="24"/>
      <c r="EB29" s="24"/>
      <c r="EC29" s="24"/>
      <c r="ED29" s="24"/>
      <c r="EE29" s="24"/>
      <c r="EF29" s="24"/>
      <c r="EG29" s="24"/>
      <c r="EH29" s="24"/>
      <c r="EI29" s="24"/>
      <c r="EJ29" s="24"/>
      <c r="EK29" s="23" t="str">
        <f t="shared" si="13"/>
        <v/>
      </c>
      <c r="EL29" s="24"/>
      <c r="EM29" s="24"/>
      <c r="EN29" s="24"/>
      <c r="EO29" s="24"/>
      <c r="EP29" s="24"/>
      <c r="EQ29" s="24"/>
      <c r="ER29" s="24"/>
      <c r="ES29" s="24"/>
      <c r="ET29" s="24"/>
      <c r="EU29" s="24"/>
      <c r="EV29" s="23" t="str">
        <f t="shared" si="14"/>
        <v/>
      </c>
      <c r="EW29" s="24"/>
      <c r="EX29" s="24"/>
      <c r="EY29" s="24"/>
      <c r="EZ29" s="24"/>
      <c r="FA29" s="24"/>
      <c r="FB29" s="24"/>
      <c r="FC29" s="24"/>
      <c r="FD29" s="24"/>
      <c r="FE29" s="24"/>
      <c r="FF29" s="24"/>
      <c r="FG29" s="23" t="str">
        <f t="shared" si="15"/>
        <v/>
      </c>
      <c r="FH29" s="24"/>
      <c r="FI29" s="24"/>
      <c r="FJ29" s="24"/>
      <c r="FK29" s="24"/>
      <c r="FL29" s="24"/>
      <c r="FM29" s="24"/>
      <c r="FN29" s="24"/>
      <c r="FO29" s="24"/>
      <c r="FP29" s="24"/>
      <c r="FQ29" s="24"/>
    </row>
    <row r="30" spans="1:173" x14ac:dyDescent="0.25">
      <c r="A30">
        <v>4124</v>
      </c>
      <c r="B30" t="str">
        <f t="shared" si="0"/>
        <v>CSNU5610325|CBKU26061079</v>
      </c>
      <c r="C30" s="24">
        <v>46209.407256944447</v>
      </c>
      <c r="E30" t="s">
        <v>516</v>
      </c>
      <c r="F30" t="s">
        <v>434</v>
      </c>
      <c r="G30" t="s">
        <v>517</v>
      </c>
      <c r="H30" t="s">
        <v>518</v>
      </c>
      <c r="I30" s="22" t="str">
        <f t="shared" si="1"/>
        <v/>
      </c>
      <c r="J30" t="s">
        <v>519</v>
      </c>
      <c r="K30" t="s">
        <v>519</v>
      </c>
      <c r="L30" t="s">
        <v>117</v>
      </c>
      <c r="M30" t="s">
        <v>117</v>
      </c>
      <c r="N30" t="s">
        <v>519</v>
      </c>
      <c r="O30" t="s">
        <v>117</v>
      </c>
      <c r="P30" t="s">
        <v>117</v>
      </c>
      <c r="Q30" t="s">
        <v>117</v>
      </c>
      <c r="R30" t="s">
        <v>519</v>
      </c>
      <c r="S30" t="s">
        <v>117</v>
      </c>
      <c r="T30" s="22" t="str">
        <f t="shared" si="2"/>
        <v/>
      </c>
      <c r="U30" t="s">
        <v>520</v>
      </c>
      <c r="V30" t="s">
        <v>520</v>
      </c>
      <c r="X30" t="s">
        <v>117</v>
      </c>
      <c r="AA30" t="s">
        <v>117</v>
      </c>
      <c r="AB30" t="s">
        <v>117</v>
      </c>
      <c r="AC30" t="s">
        <v>520</v>
      </c>
      <c r="AE30" s="23" t="str">
        <f t="shared" si="3"/>
        <v/>
      </c>
      <c r="AF30" s="24">
        <v>46209</v>
      </c>
      <c r="AG30" s="24">
        <v>46209</v>
      </c>
      <c r="AH30" s="24"/>
      <c r="AI30" s="24"/>
      <c r="AJ30" s="24"/>
      <c r="AK30" s="24"/>
      <c r="AL30" s="24"/>
      <c r="AM30" s="24"/>
      <c r="AN30" s="24">
        <v>46208</v>
      </c>
      <c r="AO30" s="24"/>
      <c r="AP30" s="23">
        <f t="shared" si="4"/>
        <v>46247</v>
      </c>
      <c r="AQ30" s="24">
        <v>46246</v>
      </c>
      <c r="AR30" s="24">
        <v>46247</v>
      </c>
      <c r="AS30" s="24"/>
      <c r="AT30" s="24"/>
      <c r="AU30" s="24">
        <v>46253.270833333336</v>
      </c>
      <c r="AV30" s="24"/>
      <c r="AW30" s="24"/>
      <c r="AX30" s="24"/>
      <c r="AY30" s="24">
        <v>46240</v>
      </c>
      <c r="AZ30" s="24"/>
      <c r="BA30" s="23" t="str">
        <f t="shared" si="5"/>
        <v/>
      </c>
      <c r="BB30" s="24"/>
      <c r="BC30" s="24"/>
      <c r="BD30" s="24"/>
      <c r="BE30" s="24"/>
      <c r="BF30" s="24"/>
      <c r="BG30" s="24"/>
      <c r="BH30" s="24"/>
      <c r="BI30" s="24"/>
      <c r="BJ30" s="24"/>
      <c r="BK30" s="24"/>
      <c r="BL30" s="23">
        <f t="shared" si="6"/>
        <v>46253</v>
      </c>
      <c r="BM30" s="24">
        <v>46252</v>
      </c>
      <c r="BN30" s="24">
        <v>46253</v>
      </c>
      <c r="BO30" s="24"/>
      <c r="BP30" s="24"/>
      <c r="BQ30" s="24"/>
      <c r="BR30" s="24"/>
      <c r="BS30" s="24"/>
      <c r="BT30" s="24"/>
      <c r="BU30" s="24">
        <v>46250</v>
      </c>
      <c r="BV30" s="24"/>
      <c r="BW30" s="23" t="str">
        <f t="shared" si="7"/>
        <v/>
      </c>
      <c r="BX30" s="24"/>
      <c r="BY30" s="24"/>
      <c r="BZ30" s="24"/>
      <c r="CA30" s="24"/>
      <c r="CB30" s="24"/>
      <c r="CC30" s="24"/>
      <c r="CD30" s="24"/>
      <c r="CE30" s="24"/>
      <c r="CF30" s="24"/>
      <c r="CG30" s="24"/>
      <c r="CH30" s="23" t="str">
        <f t="shared" si="8"/>
        <v/>
      </c>
      <c r="CI30" s="24"/>
      <c r="CJ30" s="24"/>
      <c r="CK30" s="24"/>
      <c r="CL30" s="24"/>
      <c r="CM30" s="24"/>
      <c r="CN30" s="24"/>
      <c r="CO30" s="24"/>
      <c r="CP30" s="24"/>
      <c r="CQ30" s="24"/>
      <c r="CR30" s="24"/>
      <c r="CS30" s="23">
        <f t="shared" si="9"/>
        <v>46258</v>
      </c>
      <c r="CT30" s="24">
        <v>46257</v>
      </c>
      <c r="CU30" s="24">
        <v>46258</v>
      </c>
      <c r="CV30" s="24"/>
      <c r="CW30" s="24"/>
      <c r="CX30" s="24"/>
      <c r="CY30" s="24"/>
      <c r="CZ30" s="24"/>
      <c r="DA30" s="24"/>
      <c r="DB30" s="24"/>
      <c r="DC30" s="24"/>
      <c r="DD30" s="23" t="str">
        <f t="shared" si="10"/>
        <v/>
      </c>
      <c r="DE30" s="24"/>
      <c r="DF30" s="24"/>
      <c r="DG30" s="24"/>
      <c r="DH30" s="24"/>
      <c r="DI30" s="24"/>
      <c r="DJ30" s="24"/>
      <c r="DK30" s="24"/>
      <c r="DL30" s="24"/>
      <c r="DM30" s="24"/>
      <c r="DN30" s="24"/>
      <c r="DO30" s="22" t="str">
        <f t="shared" si="11"/>
        <v/>
      </c>
      <c r="DR30" t="s">
        <v>117</v>
      </c>
      <c r="DZ30" s="23" t="str">
        <f t="shared" si="12"/>
        <v/>
      </c>
      <c r="EA30" s="24"/>
      <c r="EB30" s="24"/>
      <c r="EC30" s="24"/>
      <c r="ED30" s="24"/>
      <c r="EE30" s="24"/>
      <c r="EF30" s="24"/>
      <c r="EG30" s="24"/>
      <c r="EH30" s="24"/>
      <c r="EI30" s="24"/>
      <c r="EJ30" s="24"/>
      <c r="EK30" s="23" t="str">
        <f t="shared" si="13"/>
        <v/>
      </c>
      <c r="EL30" s="24"/>
      <c r="EM30" s="24"/>
      <c r="EN30" s="24"/>
      <c r="EO30" s="24"/>
      <c r="EP30" s="24"/>
      <c r="EQ30" s="24"/>
      <c r="ER30" s="24"/>
      <c r="ES30" s="24"/>
      <c r="ET30" s="24"/>
      <c r="EU30" s="24"/>
      <c r="EV30" s="23" t="str">
        <f t="shared" si="14"/>
        <v/>
      </c>
      <c r="EW30" s="24"/>
      <c r="EX30" s="24"/>
      <c r="EY30" s="24"/>
      <c r="EZ30" s="24"/>
      <c r="FA30" s="24"/>
      <c r="FB30" s="24"/>
      <c r="FC30" s="24"/>
      <c r="FD30" s="24"/>
      <c r="FE30" s="24"/>
      <c r="FF30" s="24"/>
      <c r="FG30" s="23" t="str">
        <f t="shared" si="15"/>
        <v/>
      </c>
      <c r="FH30" s="24"/>
      <c r="FI30" s="24"/>
      <c r="FJ30" s="24"/>
      <c r="FK30" s="24"/>
      <c r="FL30" s="24"/>
      <c r="FM30" s="24"/>
      <c r="FN30" s="24"/>
      <c r="FO30" s="24"/>
      <c r="FP30" s="24"/>
      <c r="FQ30" s="24"/>
    </row>
    <row r="31" spans="1:173" x14ac:dyDescent="0.25">
      <c r="A31">
        <v>4127</v>
      </c>
      <c r="B31" t="str">
        <f t="shared" si="0"/>
        <v>WHSU6986801|WHLC100GX11159</v>
      </c>
      <c r="C31" s="24">
        <v>46210.300474537034</v>
      </c>
      <c r="E31" t="s">
        <v>521</v>
      </c>
      <c r="F31" t="s">
        <v>434</v>
      </c>
      <c r="G31" t="s">
        <v>522</v>
      </c>
      <c r="H31" t="s">
        <v>523</v>
      </c>
      <c r="I31" s="22" t="str">
        <f t="shared" si="1"/>
        <v/>
      </c>
      <c r="J31" t="s">
        <v>523</v>
      </c>
      <c r="K31" t="s">
        <v>523</v>
      </c>
      <c r="L31" t="s">
        <v>117</v>
      </c>
      <c r="M31" t="s">
        <v>117</v>
      </c>
      <c r="N31" t="s">
        <v>523</v>
      </c>
      <c r="O31" t="s">
        <v>117</v>
      </c>
      <c r="P31" t="s">
        <v>117</v>
      </c>
      <c r="Q31" t="s">
        <v>523</v>
      </c>
      <c r="R31" t="s">
        <v>523</v>
      </c>
      <c r="S31" t="s">
        <v>117</v>
      </c>
      <c r="T31" s="22" t="str">
        <f t="shared" si="2"/>
        <v/>
      </c>
      <c r="U31" t="s">
        <v>524</v>
      </c>
      <c r="V31" t="s">
        <v>524</v>
      </c>
      <c r="X31" t="s">
        <v>117</v>
      </c>
      <c r="Y31" t="s">
        <v>524</v>
      </c>
      <c r="AA31" t="s">
        <v>117</v>
      </c>
      <c r="AB31" t="s">
        <v>524</v>
      </c>
      <c r="AC31" t="s">
        <v>524</v>
      </c>
      <c r="AE31" s="23" t="str">
        <f t="shared" si="3"/>
        <v/>
      </c>
      <c r="AF31" s="24">
        <v>46212</v>
      </c>
      <c r="AG31" s="24">
        <v>46212</v>
      </c>
      <c r="AH31" s="24"/>
      <c r="AI31" s="24"/>
      <c r="AJ31" s="24">
        <v>46212.818055555559</v>
      </c>
      <c r="AK31" s="24"/>
      <c r="AL31" s="24"/>
      <c r="AM31" s="24">
        <v>46212</v>
      </c>
      <c r="AN31" s="24">
        <v>46212</v>
      </c>
      <c r="AO31" s="24"/>
      <c r="AP31" s="23" t="str">
        <f t="shared" si="4"/>
        <v/>
      </c>
      <c r="AQ31" s="24">
        <v>46239</v>
      </c>
      <c r="AR31" s="24">
        <v>46239</v>
      </c>
      <c r="AS31" s="24"/>
      <c r="AT31" s="24"/>
      <c r="AU31" s="24">
        <v>46239.208333333336</v>
      </c>
      <c r="AV31" s="24"/>
      <c r="AW31" s="24"/>
      <c r="AX31" s="24">
        <v>46239</v>
      </c>
      <c r="AY31" s="24">
        <v>46237</v>
      </c>
      <c r="AZ31" s="24"/>
      <c r="BA31" s="23" t="str">
        <f t="shared" si="5"/>
        <v/>
      </c>
      <c r="BB31" s="24"/>
      <c r="BC31" s="24"/>
      <c r="BD31" s="24"/>
      <c r="BE31" s="24"/>
      <c r="BF31" s="24"/>
      <c r="BG31" s="24"/>
      <c r="BH31" s="24"/>
      <c r="BI31" s="24"/>
      <c r="BJ31" s="24"/>
      <c r="BK31" s="24"/>
      <c r="BL31" s="23" t="str">
        <f t="shared" si="6"/>
        <v/>
      </c>
      <c r="BM31" s="24">
        <v>46239</v>
      </c>
      <c r="BN31" s="24">
        <v>46239</v>
      </c>
      <c r="BO31" s="24"/>
      <c r="BP31" s="24"/>
      <c r="BQ31" s="24"/>
      <c r="BR31" s="24"/>
      <c r="BS31" s="24"/>
      <c r="BT31" s="24"/>
      <c r="BU31" s="24">
        <v>46237</v>
      </c>
      <c r="BV31" s="24"/>
      <c r="BW31" s="23" t="str">
        <f t="shared" si="7"/>
        <v/>
      </c>
      <c r="BX31" s="24"/>
      <c r="BY31" s="24"/>
      <c r="BZ31" s="24"/>
      <c r="CA31" s="24"/>
      <c r="CB31" s="24"/>
      <c r="CC31" s="24"/>
      <c r="CD31" s="24"/>
      <c r="CE31" s="24"/>
      <c r="CF31" s="24"/>
      <c r="CG31" s="24"/>
      <c r="CH31" s="23" t="str">
        <f t="shared" si="8"/>
        <v/>
      </c>
      <c r="CI31" s="24"/>
      <c r="CJ31" s="24"/>
      <c r="CK31" s="24"/>
      <c r="CL31" s="24"/>
      <c r="CM31" s="24"/>
      <c r="CN31" s="24"/>
      <c r="CO31" s="24"/>
      <c r="CP31" s="24"/>
      <c r="CQ31" s="24"/>
      <c r="CR31" s="24"/>
      <c r="CS31" s="23">
        <f t="shared" si="9"/>
        <v>46244</v>
      </c>
      <c r="CT31" s="24">
        <v>46244</v>
      </c>
      <c r="CU31" s="24">
        <v>46244</v>
      </c>
      <c r="CV31" s="24"/>
      <c r="CW31" s="24"/>
      <c r="CX31" s="24"/>
      <c r="CY31" s="24"/>
      <c r="CZ31" s="24"/>
      <c r="DA31" s="24"/>
      <c r="DB31" s="24"/>
      <c r="DC31" s="24"/>
      <c r="DD31" s="23" t="str">
        <f t="shared" si="10"/>
        <v/>
      </c>
      <c r="DE31" s="24"/>
      <c r="DF31" s="24"/>
      <c r="DG31" s="24"/>
      <c r="DH31" s="24"/>
      <c r="DI31" s="24"/>
      <c r="DJ31" s="24"/>
      <c r="DK31" s="24"/>
      <c r="DL31" s="24"/>
      <c r="DM31" s="24"/>
      <c r="DN31" s="24"/>
      <c r="DO31" s="22" t="str">
        <f t="shared" si="11"/>
        <v/>
      </c>
      <c r="DR31" t="s">
        <v>117</v>
      </c>
      <c r="DZ31" s="23" t="str">
        <f t="shared" si="12"/>
        <v/>
      </c>
      <c r="EA31" s="24"/>
      <c r="EB31" s="24"/>
      <c r="EC31" s="24"/>
      <c r="ED31" s="24"/>
      <c r="EE31" s="24"/>
      <c r="EF31" s="24"/>
      <c r="EG31" s="24"/>
      <c r="EH31" s="24"/>
      <c r="EI31" s="24"/>
      <c r="EJ31" s="24"/>
      <c r="EK31" s="23" t="str">
        <f t="shared" si="13"/>
        <v/>
      </c>
      <c r="EL31" s="24"/>
      <c r="EM31" s="24"/>
      <c r="EN31" s="24"/>
      <c r="EO31" s="24"/>
      <c r="EP31" s="24"/>
      <c r="EQ31" s="24"/>
      <c r="ER31" s="24"/>
      <c r="ES31" s="24"/>
      <c r="ET31" s="24"/>
      <c r="EU31" s="24"/>
      <c r="EV31" s="23" t="str">
        <f t="shared" si="14"/>
        <v/>
      </c>
      <c r="EW31" s="24"/>
      <c r="EX31" s="24"/>
      <c r="EY31" s="24"/>
      <c r="EZ31" s="24"/>
      <c r="FA31" s="24"/>
      <c r="FB31" s="24"/>
      <c r="FC31" s="24"/>
      <c r="FD31" s="24"/>
      <c r="FE31" s="24"/>
      <c r="FF31" s="24"/>
      <c r="FG31" s="23" t="str">
        <f t="shared" si="15"/>
        <v/>
      </c>
      <c r="FH31" s="24"/>
      <c r="FI31" s="24"/>
      <c r="FJ31" s="24"/>
      <c r="FK31" s="24"/>
      <c r="FL31" s="24"/>
      <c r="FM31" s="24"/>
      <c r="FN31" s="24"/>
      <c r="FO31" s="24"/>
      <c r="FP31" s="24"/>
      <c r="FQ31" s="24"/>
    </row>
    <row r="32" spans="1:173" x14ac:dyDescent="0.25">
      <c r="A32">
        <v>4128</v>
      </c>
      <c r="B32" t="str">
        <f t="shared" si="0"/>
        <v>WHSU6976887|WHLC100GX11159</v>
      </c>
      <c r="C32" s="24">
        <v>46210.307256944441</v>
      </c>
      <c r="E32" t="s">
        <v>525</v>
      </c>
      <c r="F32" t="s">
        <v>434</v>
      </c>
      <c r="G32" t="s">
        <v>526</v>
      </c>
      <c r="H32" t="s">
        <v>523</v>
      </c>
      <c r="I32" s="22" t="str">
        <f t="shared" si="1"/>
        <v/>
      </c>
      <c r="J32" t="s">
        <v>523</v>
      </c>
      <c r="K32" t="s">
        <v>523</v>
      </c>
      <c r="L32" t="s">
        <v>117</v>
      </c>
      <c r="M32" t="s">
        <v>117</v>
      </c>
      <c r="N32" t="s">
        <v>523</v>
      </c>
      <c r="O32" t="s">
        <v>117</v>
      </c>
      <c r="P32" t="s">
        <v>117</v>
      </c>
      <c r="Q32" t="s">
        <v>523</v>
      </c>
      <c r="R32" t="s">
        <v>523</v>
      </c>
      <c r="S32" t="s">
        <v>117</v>
      </c>
      <c r="T32" s="22" t="str">
        <f t="shared" si="2"/>
        <v/>
      </c>
      <c r="U32" t="s">
        <v>524</v>
      </c>
      <c r="V32" t="s">
        <v>524</v>
      </c>
      <c r="X32" t="s">
        <v>117</v>
      </c>
      <c r="Y32" t="s">
        <v>524</v>
      </c>
      <c r="AA32" t="s">
        <v>117</v>
      </c>
      <c r="AB32" t="s">
        <v>524</v>
      </c>
      <c r="AC32" t="s">
        <v>524</v>
      </c>
      <c r="AE32" s="23" t="str">
        <f t="shared" si="3"/>
        <v/>
      </c>
      <c r="AF32" s="24">
        <v>46212</v>
      </c>
      <c r="AG32" s="24">
        <v>46212</v>
      </c>
      <c r="AH32" s="24"/>
      <c r="AI32" s="24"/>
      <c r="AJ32" s="24">
        <v>46212.818055555559</v>
      </c>
      <c r="AK32" s="24"/>
      <c r="AL32" s="24"/>
      <c r="AM32" s="24">
        <v>46212</v>
      </c>
      <c r="AN32" s="24">
        <v>46212</v>
      </c>
      <c r="AO32" s="24"/>
      <c r="AP32" s="23" t="str">
        <f t="shared" si="4"/>
        <v/>
      </c>
      <c r="AQ32" s="24">
        <v>46239</v>
      </c>
      <c r="AR32" s="24">
        <v>46239</v>
      </c>
      <c r="AS32" s="24"/>
      <c r="AT32" s="24"/>
      <c r="AU32" s="24">
        <v>46239.208333333336</v>
      </c>
      <c r="AV32" s="24"/>
      <c r="AW32" s="24"/>
      <c r="AX32" s="24">
        <v>46239</v>
      </c>
      <c r="AY32" s="24">
        <v>46237</v>
      </c>
      <c r="AZ32" s="24"/>
      <c r="BA32" s="23" t="str">
        <f t="shared" si="5"/>
        <v/>
      </c>
      <c r="BB32" s="24"/>
      <c r="BC32" s="24"/>
      <c r="BD32" s="24"/>
      <c r="BE32" s="24"/>
      <c r="BF32" s="24"/>
      <c r="BG32" s="24"/>
      <c r="BH32" s="24"/>
      <c r="BI32" s="24"/>
      <c r="BJ32" s="24"/>
      <c r="BK32" s="24"/>
      <c r="BL32" s="23" t="str">
        <f t="shared" si="6"/>
        <v/>
      </c>
      <c r="BM32" s="24">
        <v>46239</v>
      </c>
      <c r="BN32" s="24">
        <v>46239</v>
      </c>
      <c r="BO32" s="24"/>
      <c r="BP32" s="24"/>
      <c r="BQ32" s="24"/>
      <c r="BR32" s="24"/>
      <c r="BS32" s="24"/>
      <c r="BT32" s="24"/>
      <c r="BU32" s="24">
        <v>46237</v>
      </c>
      <c r="BV32" s="24"/>
      <c r="BW32" s="23" t="str">
        <f t="shared" si="7"/>
        <v/>
      </c>
      <c r="BX32" s="24"/>
      <c r="BY32" s="24"/>
      <c r="BZ32" s="24"/>
      <c r="CA32" s="24"/>
      <c r="CB32" s="24"/>
      <c r="CC32" s="24"/>
      <c r="CD32" s="24"/>
      <c r="CE32" s="24"/>
      <c r="CF32" s="24"/>
      <c r="CG32" s="24"/>
      <c r="CH32" s="23" t="str">
        <f t="shared" si="8"/>
        <v/>
      </c>
      <c r="CI32" s="24"/>
      <c r="CJ32" s="24"/>
      <c r="CK32" s="24"/>
      <c r="CL32" s="24"/>
      <c r="CM32" s="24"/>
      <c r="CN32" s="24"/>
      <c r="CO32" s="24"/>
      <c r="CP32" s="24"/>
      <c r="CQ32" s="24"/>
      <c r="CR32" s="24"/>
      <c r="CS32" s="23">
        <f t="shared" si="9"/>
        <v>46244</v>
      </c>
      <c r="CT32" s="24">
        <v>46244</v>
      </c>
      <c r="CU32" s="24">
        <v>46244</v>
      </c>
      <c r="CV32" s="24"/>
      <c r="CW32" s="24"/>
      <c r="CX32" s="24"/>
      <c r="CY32" s="24"/>
      <c r="CZ32" s="24"/>
      <c r="DA32" s="24"/>
      <c r="DB32" s="24"/>
      <c r="DC32" s="24"/>
      <c r="DD32" s="23" t="str">
        <f t="shared" si="10"/>
        <v/>
      </c>
      <c r="DE32" s="24"/>
      <c r="DF32" s="24"/>
      <c r="DG32" s="24"/>
      <c r="DH32" s="24"/>
      <c r="DI32" s="24"/>
      <c r="DJ32" s="24"/>
      <c r="DK32" s="24"/>
      <c r="DL32" s="24"/>
      <c r="DM32" s="24"/>
      <c r="DN32" s="24"/>
      <c r="DO32" s="22" t="str">
        <f t="shared" si="11"/>
        <v/>
      </c>
      <c r="DR32" t="s">
        <v>117</v>
      </c>
      <c r="DZ32" s="23" t="str">
        <f t="shared" si="12"/>
        <v/>
      </c>
      <c r="EA32" s="24"/>
      <c r="EB32" s="24"/>
      <c r="EC32" s="24"/>
      <c r="ED32" s="24"/>
      <c r="EE32" s="24"/>
      <c r="EF32" s="24"/>
      <c r="EG32" s="24"/>
      <c r="EH32" s="24"/>
      <c r="EI32" s="24"/>
      <c r="EJ32" s="24"/>
      <c r="EK32" s="23" t="str">
        <f t="shared" si="13"/>
        <v/>
      </c>
      <c r="EL32" s="24"/>
      <c r="EM32" s="24"/>
      <c r="EN32" s="24"/>
      <c r="EO32" s="24"/>
      <c r="EP32" s="24"/>
      <c r="EQ32" s="24"/>
      <c r="ER32" s="24"/>
      <c r="ES32" s="24"/>
      <c r="ET32" s="24"/>
      <c r="EU32" s="24"/>
      <c r="EV32" s="23" t="str">
        <f t="shared" si="14"/>
        <v/>
      </c>
      <c r="EW32" s="24"/>
      <c r="EX32" s="24"/>
      <c r="EY32" s="24"/>
      <c r="EZ32" s="24"/>
      <c r="FA32" s="24"/>
      <c r="FB32" s="24"/>
      <c r="FC32" s="24"/>
      <c r="FD32" s="24"/>
      <c r="FE32" s="24"/>
      <c r="FF32" s="24"/>
      <c r="FG32" s="23" t="str">
        <f t="shared" si="15"/>
        <v/>
      </c>
      <c r="FH32" s="24"/>
      <c r="FI32" s="24"/>
      <c r="FJ32" s="24"/>
      <c r="FK32" s="24"/>
      <c r="FL32" s="24"/>
      <c r="FM32" s="24"/>
      <c r="FN32" s="24"/>
      <c r="FO32" s="24"/>
      <c r="FP32" s="24"/>
      <c r="FQ32" s="24"/>
    </row>
    <row r="33" spans="1:173" x14ac:dyDescent="0.25">
      <c r="A33">
        <v>4136</v>
      </c>
      <c r="B33" t="str">
        <f t="shared" si="0"/>
        <v>ONEU5833120|ONEYBKKGL7481600</v>
      </c>
      <c r="C33" s="24">
        <v>46213.309583333335</v>
      </c>
      <c r="E33" t="s">
        <v>527</v>
      </c>
      <c r="F33" t="s">
        <v>434</v>
      </c>
      <c r="G33" t="s">
        <v>528</v>
      </c>
      <c r="H33" t="s">
        <v>529</v>
      </c>
      <c r="I33" s="22" t="str">
        <f t="shared" si="1"/>
        <v/>
      </c>
      <c r="J33" t="s">
        <v>529</v>
      </c>
      <c r="K33" t="s">
        <v>529</v>
      </c>
      <c r="L33" t="s">
        <v>117</v>
      </c>
      <c r="M33" t="s">
        <v>117</v>
      </c>
      <c r="N33" t="s">
        <v>529</v>
      </c>
      <c r="O33" t="s">
        <v>117</v>
      </c>
      <c r="P33" t="s">
        <v>117</v>
      </c>
      <c r="Q33" t="s">
        <v>117</v>
      </c>
      <c r="R33" t="s">
        <v>529</v>
      </c>
      <c r="S33" t="s">
        <v>117</v>
      </c>
      <c r="T33" s="22" t="str">
        <f t="shared" si="2"/>
        <v/>
      </c>
      <c r="U33" t="s">
        <v>530</v>
      </c>
      <c r="V33" t="s">
        <v>530</v>
      </c>
      <c r="X33" t="s">
        <v>117</v>
      </c>
      <c r="AA33" t="s">
        <v>117</v>
      </c>
      <c r="AB33" t="s">
        <v>117</v>
      </c>
      <c r="AC33" t="s">
        <v>530</v>
      </c>
      <c r="AE33" s="23" t="str">
        <f t="shared" si="3"/>
        <v/>
      </c>
      <c r="AF33" s="24">
        <v>46219</v>
      </c>
      <c r="AG33" s="24">
        <v>46219</v>
      </c>
      <c r="AH33" s="24"/>
      <c r="AI33" s="24"/>
      <c r="AJ33" s="24"/>
      <c r="AK33" s="24"/>
      <c r="AL33" s="24"/>
      <c r="AM33" s="24"/>
      <c r="AN33" s="24">
        <v>46218</v>
      </c>
      <c r="AO33" s="24"/>
      <c r="AP33" s="23" t="str">
        <f t="shared" si="4"/>
        <v/>
      </c>
      <c r="AQ33" s="24">
        <v>46262</v>
      </c>
      <c r="AR33" s="24">
        <v>46262</v>
      </c>
      <c r="AS33" s="24"/>
      <c r="AT33" s="24"/>
      <c r="AU33" s="24">
        <v>46266.5</v>
      </c>
      <c r="AV33" s="24"/>
      <c r="AW33" s="24"/>
      <c r="AX33" s="24"/>
      <c r="AY33" s="24">
        <v>46262</v>
      </c>
      <c r="AZ33" s="24"/>
      <c r="BA33" s="23" t="str">
        <f t="shared" si="5"/>
        <v/>
      </c>
      <c r="BB33" s="24"/>
      <c r="BC33" s="24"/>
      <c r="BD33" s="24"/>
      <c r="BE33" s="24"/>
      <c r="BF33" s="24"/>
      <c r="BG33" s="24"/>
      <c r="BH33" s="24"/>
      <c r="BI33" s="24"/>
      <c r="BJ33" s="24"/>
      <c r="BK33" s="24"/>
      <c r="BL33" s="23" t="str">
        <f t="shared" si="6"/>
        <v/>
      </c>
      <c r="BM33" s="24">
        <v>46266</v>
      </c>
      <c r="BN33" s="24">
        <v>46266</v>
      </c>
      <c r="BO33" s="24"/>
      <c r="BP33" s="24"/>
      <c r="BQ33" s="24"/>
      <c r="BR33" s="24"/>
      <c r="BS33" s="24"/>
      <c r="BT33" s="24"/>
      <c r="BU33" s="24">
        <v>46267</v>
      </c>
      <c r="BV33" s="24"/>
      <c r="BW33" s="23" t="str">
        <f t="shared" si="7"/>
        <v/>
      </c>
      <c r="BX33" s="24"/>
      <c r="BY33" s="24"/>
      <c r="BZ33" s="24"/>
      <c r="CA33" s="24"/>
      <c r="CB33" s="24"/>
      <c r="CC33" s="24"/>
      <c r="CD33" s="24"/>
      <c r="CE33" s="24"/>
      <c r="CF33" s="24"/>
      <c r="CG33" s="24"/>
      <c r="CH33" s="23" t="str">
        <f t="shared" si="8"/>
        <v/>
      </c>
      <c r="CI33" s="24"/>
      <c r="CJ33" s="24"/>
      <c r="CK33" s="24"/>
      <c r="CL33" s="24"/>
      <c r="CM33" s="24"/>
      <c r="CN33" s="24"/>
      <c r="CO33" s="24"/>
      <c r="CP33" s="24"/>
      <c r="CQ33" s="24"/>
      <c r="CR33" s="24"/>
      <c r="CS33" s="23">
        <f t="shared" si="9"/>
        <v>46271</v>
      </c>
      <c r="CT33" s="24">
        <v>46271</v>
      </c>
      <c r="CU33" s="24">
        <v>46271</v>
      </c>
      <c r="CV33" s="24"/>
      <c r="CW33" s="24"/>
      <c r="CX33" s="24"/>
      <c r="CY33" s="24"/>
      <c r="CZ33" s="24"/>
      <c r="DA33" s="24"/>
      <c r="DB33" s="24"/>
      <c r="DC33" s="24"/>
      <c r="DD33" s="23" t="str">
        <f t="shared" si="10"/>
        <v/>
      </c>
      <c r="DE33" s="24"/>
      <c r="DF33" s="24"/>
      <c r="DG33" s="24"/>
      <c r="DH33" s="24"/>
      <c r="DI33" s="24"/>
      <c r="DJ33" s="24"/>
      <c r="DK33" s="24"/>
      <c r="DL33" s="24"/>
      <c r="DM33" s="24"/>
      <c r="DN33" s="24"/>
      <c r="DO33" s="22" t="str">
        <f t="shared" si="11"/>
        <v/>
      </c>
      <c r="DR33" t="s">
        <v>117</v>
      </c>
      <c r="DZ33" s="23" t="str">
        <f t="shared" si="12"/>
        <v/>
      </c>
      <c r="EA33" s="24"/>
      <c r="EB33" s="24"/>
      <c r="EC33" s="24"/>
      <c r="ED33" s="24"/>
      <c r="EE33" s="24"/>
      <c r="EF33" s="24"/>
      <c r="EG33" s="24"/>
      <c r="EH33" s="24"/>
      <c r="EI33" s="24"/>
      <c r="EJ33" s="24"/>
      <c r="EK33" s="23" t="str">
        <f t="shared" si="13"/>
        <v/>
      </c>
      <c r="EL33" s="24"/>
      <c r="EM33" s="24"/>
      <c r="EN33" s="24"/>
      <c r="EO33" s="24"/>
      <c r="EP33" s="24"/>
      <c r="EQ33" s="24"/>
      <c r="ER33" s="24"/>
      <c r="ES33" s="24"/>
      <c r="ET33" s="24"/>
      <c r="EU33" s="24"/>
      <c r="EV33" s="23" t="str">
        <f t="shared" si="14"/>
        <v/>
      </c>
      <c r="EW33" s="24"/>
      <c r="EX33" s="24"/>
      <c r="EY33" s="24"/>
      <c r="EZ33" s="24"/>
      <c r="FA33" s="24"/>
      <c r="FB33" s="24"/>
      <c r="FC33" s="24"/>
      <c r="FD33" s="24"/>
      <c r="FE33" s="24"/>
      <c r="FF33" s="24"/>
      <c r="FG33" s="23" t="str">
        <f t="shared" si="15"/>
        <v/>
      </c>
      <c r="FH33" s="24"/>
      <c r="FI33" s="24"/>
      <c r="FJ33" s="24"/>
      <c r="FK33" s="24"/>
      <c r="FL33" s="24"/>
      <c r="FM33" s="24"/>
      <c r="FN33" s="24"/>
      <c r="FO33" s="24"/>
      <c r="FP33" s="24"/>
      <c r="FQ33" s="24"/>
    </row>
    <row r="34" spans="1:173" x14ac:dyDescent="0.25">
      <c r="A34">
        <v>4137</v>
      </c>
      <c r="B34" t="str">
        <f t="shared" ref="B34:B70" si="16">G34&amp; "|" &amp;H34</f>
        <v>HMMU7037974|BOMM75931000</v>
      </c>
      <c r="C34" s="24">
        <v>46216.308587962965</v>
      </c>
      <c r="E34" t="s">
        <v>531</v>
      </c>
      <c r="F34" t="s">
        <v>434</v>
      </c>
      <c r="G34" t="s">
        <v>532</v>
      </c>
      <c r="H34" t="s">
        <v>533</v>
      </c>
      <c r="I34" s="22" t="str">
        <f t="shared" ref="I34:I65" si="17">IF(COUNTIF(K34:S34,"&lt;&gt;"&amp;"")=0,"",IF(IF(K34&lt;&gt;"",K34,IF(J34&lt;&gt;"",J34,IF(L34&lt;&gt;"",L34,IF(N34&lt;&gt;"",N34,IF(P34&lt;&gt;"",P34,IF(M34&lt;&gt;"",M34,IF(Q34&lt;&gt;"",Q34,IF(O34&lt;&gt;"",O34,IF(S34&lt;&gt;"",S34,IF(R34&lt;&gt;"",R34,""))))))))))=J34,"",IF(K34&lt;&gt;"",K34,IF(J34&lt;&gt;"",J34,IF(L34&lt;&gt;"",L34,IF(N34&lt;&gt;"",N34,IF(P34&lt;&gt;"",P34,IF(M34&lt;&gt;"",M34,IF(Q34&lt;&gt;"",Q34,IF(O34&lt;&gt;"",O34,IF(S34&lt;&gt;"",S34,IF(R34&lt;&gt;"",R34,""))))))))))))</f>
        <v/>
      </c>
      <c r="J34" t="s">
        <v>533</v>
      </c>
      <c r="K34" t="s">
        <v>117</v>
      </c>
      <c r="L34" t="s">
        <v>117</v>
      </c>
      <c r="M34" t="s">
        <v>117</v>
      </c>
      <c r="N34" t="s">
        <v>117</v>
      </c>
      <c r="O34" t="s">
        <v>117</v>
      </c>
      <c r="P34" t="s">
        <v>117</v>
      </c>
      <c r="Q34" t="s">
        <v>117</v>
      </c>
      <c r="R34" t="s">
        <v>117</v>
      </c>
      <c r="S34" t="s">
        <v>117</v>
      </c>
      <c r="T34" s="22" t="str">
        <f t="shared" ref="T34:T65" si="18">IF(COUNTIF(V34:AD34,"&lt;&gt;"&amp;"")=0,"",IF(IF(X34&lt;&gt;"",X34,IF(V34&lt;&gt;"",V34,IF(W34&lt;&gt;"",W34,IF(Y34&lt;&gt;"",Y34,IF(AA34&lt;&gt;"",AA34,IF(U34&lt;&gt;"",U34,IF(AB34&lt;&gt;"",AB34,IF(Z34&lt;&gt;"",Z34,IF(AD34&lt;&gt;"",AD34,IF(AC34&lt;&gt;"",AC34,""))))))))))=U34,"",IF(X34&lt;&gt;"",X34,IF(V34&lt;&gt;"",V34,IF(W34&lt;&gt;"",W34,IF(Y34&lt;&gt;"",Y34,IF(AA34&lt;&gt;"",AA34,IF(U34&lt;&gt;"",U34,IF(AB34&lt;&gt;"",AB34,IF(Z34&lt;&gt;"",Z34,IF(AD34&lt;&gt;"",AD34,IF(AC34&lt;&gt;"",AC34,""))))))))))))</f>
        <v/>
      </c>
      <c r="U34" t="s">
        <v>534</v>
      </c>
      <c r="V34" t="s">
        <v>117</v>
      </c>
      <c r="X34" t="s">
        <v>117</v>
      </c>
      <c r="Y34" t="s">
        <v>117</v>
      </c>
      <c r="AA34" t="s">
        <v>117</v>
      </c>
      <c r="AB34" t="s">
        <v>117</v>
      </c>
      <c r="AC34" t="s">
        <v>117</v>
      </c>
      <c r="AE34" s="23" t="str">
        <f t="shared" ref="AE34:AE65" si="19">IF(COUNTIF(AG34:AO34,"&lt;&gt;"&amp;"")=0,"",IF(IF(AI34&lt;&gt;"",AI34,IF(AG34&lt;&gt;"",AG34,IF(AH34&lt;&gt;"",AH34,IF(AJ34&lt;&gt;"",AJ34,IF(AM34&lt;&gt;"",AM34,IF(AN34&lt;&gt;"",AN34,IF(AF34&lt;&gt;"",AF34,IF(AL34&lt;&gt;"",AL34,IF(AK34&lt;&gt;"",AK34,IF(AO34&lt;&gt;"",AO34,""))))))))))=AF34,"",IF(AI34&lt;&gt;"",AI34,IF(AG34&lt;&gt;"",AG34,IF(AH34&lt;&gt;"",AH34,IF(AJ34&lt;&gt;"",AJ34,IF(AM34&lt;&gt;"",AM34,IF(AN34&lt;&gt;"",AN34,IF(AF34&lt;&gt;"",AF34,IF(AL34&lt;&gt;"",AL34,IF(AK34&lt;&gt;"",AK34,IF(AO34&lt;&gt;"",AO34,""))))))))))))</f>
        <v/>
      </c>
      <c r="AF34" s="24">
        <v>46219</v>
      </c>
      <c r="AG34" s="24"/>
      <c r="AH34" s="24"/>
      <c r="AI34" s="24"/>
      <c r="AJ34" s="24"/>
      <c r="AK34" s="24"/>
      <c r="AL34" s="24"/>
      <c r="AM34" s="24"/>
      <c r="AN34" s="24"/>
      <c r="AO34" s="24"/>
      <c r="AP34" s="23" t="str">
        <f t="shared" ref="AP34:AP65" si="20">IF(COUNTIF(AR34:AZ34,"&lt;&gt;"&amp;"")=0,"",IF(IF(AT34&lt;&gt;"",AT34,IF(AR34&lt;&gt;"",AR34,IF(AS34&lt;&gt;"",AS34,IF(AU34&lt;&gt;"",AU34,IF(AW34&lt;&gt;"",AW34,IF(AZ34&lt;&gt;"",AZ34,IF(AX34&lt;&gt;"",AX34,IF(AV34&lt;&gt;"",AV34,IF(AQ34&lt;&gt;"",AQ34,IF(AY34&lt;&gt;"",AY34,""))))))))))=AQ34,"",IF(AT34&lt;&gt;"",AT34,IF(AR34&lt;&gt;"",AR34,IF(AS34&lt;&gt;"",AS34,IF(AU34&lt;&gt;"",AU34,IF(AW34&lt;&gt;"",AW34,IF(AZ34&lt;&gt;"",AZ34,IF(AX34&lt;&gt;"",AX34,IF(AV34&lt;&gt;"",AV34,IF(AQ34&lt;&gt;"",AQ34,IF(AY34&lt;&gt;"",AY34,""))))))))))))</f>
        <v/>
      </c>
      <c r="AQ34" s="24">
        <v>46252</v>
      </c>
      <c r="AR34" s="24"/>
      <c r="AS34" s="24"/>
      <c r="AT34" s="24"/>
      <c r="AU34" s="24"/>
      <c r="AV34" s="24"/>
      <c r="AW34" s="24"/>
      <c r="AX34" s="24"/>
      <c r="AY34" s="24"/>
      <c r="AZ34" s="24"/>
      <c r="BA34" s="23" t="str">
        <f t="shared" ref="BA34:BA65" si="21">IF(COUNTIF(BC34:BK34,"&lt;&gt;"&amp;"")=0,"",IF(IF(BE34&lt;&gt;"",BE34,IF(BC34&lt;&gt;"",BC34,IF(BD34&lt;&gt;"",BD34,IF(BF34&lt;&gt;"",BF34,IF(BH34&lt;&gt;"",BH34,IF(BB34&lt;&gt;"",BB34,IF(BI34&lt;&gt;"",BI34,IF(BG34&lt;&gt;"",BG34,IF(BK34&lt;&gt;"",BK34,IF(BJ34&lt;&gt;"",BJ34,""))))))))))=BB34,"",IF(BE34&lt;&gt;"",BE34,IF(BC34&lt;&gt;"",BC34,IF(BD34&lt;&gt;"",BD34,IF(BF34&lt;&gt;"",BF34,IF(BH34&lt;&gt;"",BH34,IF(BB34&lt;&gt;"",BB34,IF(BI34&lt;&gt;"",BI34,IF(BG34&lt;&gt;"",BG34,IF(BK34&lt;&gt;"",BK34,IF(BJ34&lt;&gt;"",BJ34,""))))))))))))</f>
        <v/>
      </c>
      <c r="BB34" s="24"/>
      <c r="BC34" s="24"/>
      <c r="BD34" s="24"/>
      <c r="BE34" s="24"/>
      <c r="BF34" s="24"/>
      <c r="BG34" s="24"/>
      <c r="BH34" s="24"/>
      <c r="BI34" s="24"/>
      <c r="BJ34" s="24"/>
      <c r="BK34" s="24"/>
      <c r="BL34" s="23" t="str">
        <f t="shared" ref="BL34:BL65" si="22">IF(COUNTIF(BN34:BV34,"&lt;&gt;"&amp;"")=0,"",IF(IF(BP34&lt;&gt;"",BP34,IF(BN34&lt;&gt;"",BN34,IF(BO34&lt;&gt;"",BO34,IF(BQ34&lt;&gt;"",BQ34,IF(BT34&lt;&gt;"",BT34,IF(BU34&lt;&gt;"",BU34,IF(BM34&lt;&gt;"",BM34,IF(BS34&lt;&gt;"",BS34,IF(BR34&lt;&gt;"",BR34,IF(BV34&lt;&gt;"",BV34,""))))))))))=BM34,"",IF(BP34&lt;&gt;"",BP34,IF(BN34&lt;&gt;"",BN34,IF(BO34&lt;&gt;"",BO34,IF(BQ34&lt;&gt;"",BQ34,IF(BT34&lt;&gt;"",BT34,IF(BU34&lt;&gt;"",BU34,IF(BM34&lt;&gt;"",BM34,IF(BS34&lt;&gt;"",BS34,IF(BR34&lt;&gt;"",BR34,IF(BV34&lt;&gt;"",BV34,""))))))))))))</f>
        <v/>
      </c>
      <c r="BM34" s="24"/>
      <c r="BN34" s="24"/>
      <c r="BO34" s="24"/>
      <c r="BP34" s="24"/>
      <c r="BQ34" s="24"/>
      <c r="BR34" s="24"/>
      <c r="BS34" s="24"/>
      <c r="BT34" s="24"/>
      <c r="BU34" s="24"/>
      <c r="BV34" s="24"/>
      <c r="BW34" s="23" t="str">
        <f t="shared" ref="BW34:BW65" si="23">IF(COUNTIF(BY34:CG34,"&lt;&gt;"&amp;"")=0,"",IF(IF(CA34&lt;&gt;"",CA34,IF(BY34&lt;&gt;"",BY34,IF(BZ34&lt;&gt;"",BZ34,IF(CB34&lt;&gt;"",CB34,IF(CE34&lt;&gt;"",CE34,IF(CF34&lt;&gt;"",CF34,IF(BX34&lt;&gt;"",BX34,IF(CD34&lt;&gt;"",CD34,IF(CC34&lt;&gt;"",CC34,IF(CG34&lt;&gt;"",CG34,""))))))))))=BX34,"",IF(CA34&lt;&gt;"",CA34,IF(BY34&lt;&gt;"",BY34,IF(BZ34&lt;&gt;"",BZ34,IF(CB34&lt;&gt;"",CB34,IF(CE34&lt;&gt;"",CE34,IF(CF34&lt;&gt;"",CF34,IF(BX34&lt;&gt;"",BX34,IF(CD34&lt;&gt;"",CD34,IF(CC34&lt;&gt;"",CC34,IF(CG34&lt;&gt;"",CG34,""))))))))))))</f>
        <v/>
      </c>
      <c r="BX34" s="24"/>
      <c r="BY34" s="24"/>
      <c r="BZ34" s="24"/>
      <c r="CA34" s="24"/>
      <c r="CB34" s="24"/>
      <c r="CC34" s="24"/>
      <c r="CD34" s="24"/>
      <c r="CE34" s="24"/>
      <c r="CF34" s="24"/>
      <c r="CG34" s="24"/>
      <c r="CH34" s="23" t="str">
        <f t="shared" ref="CH34:CH65" si="24">IF(COUNTIF(CJ34:CR34,"&lt;&gt;"&amp;"")=0,"",IF(IF(CL34&lt;&gt;"",CL34,IF(CJ34&lt;&gt;"",CJ34,IF(CK34&lt;&gt;"",CK34,IF(CM34&lt;&gt;"",CM34,IF(CP34&lt;&gt;"",CP34,IF(CQ34&lt;&gt;"",CQ34,IF(CI34&lt;&gt;"",CI34,IF(CO34&lt;&gt;"",CO34,IF(CN34&lt;&gt;"",CN34,IF(CR34&lt;&gt;"",CR34,""))))))))))=CI34,"",IF(CL34&lt;&gt;"",CL34,IF(CJ34&lt;&gt;"",CJ34,IF(CK34&lt;&gt;"",CK34,IF(CM34&lt;&gt;"",CM34,IF(CP34&lt;&gt;"",CP34,IF(CQ34&lt;&gt;"",CQ34,IF(CI34&lt;&gt;"",CI34,IF(CO34&lt;&gt;"",CO34,IF(CN34&lt;&gt;"",CN34,IF(CR34&lt;&gt;"",CR34,""))))))))))))</f>
        <v/>
      </c>
      <c r="CI34" s="24"/>
      <c r="CJ34" s="24"/>
      <c r="CK34" s="24"/>
      <c r="CL34" s="24"/>
      <c r="CM34" s="24"/>
      <c r="CN34" s="24"/>
      <c r="CO34" s="24"/>
      <c r="CP34" s="24"/>
      <c r="CQ34" s="24"/>
      <c r="CR34" s="24"/>
      <c r="CS34" s="23">
        <f t="shared" ref="CS34:CS65" si="25">IF(DD34&lt;&gt;"",DD34,IF(AND(IF(BA34="",BB34,BA34)&lt;&gt;"",IF(IF(CW34&lt;&gt;"",CW34,IF(CU34&lt;&gt;"",CU34,IF(CV34&lt;&gt;"",CV34,IF(CX34&lt;&gt;"",CX34,IF(CZ34&lt;&gt;"",CZ34,IF(CT34&lt;&gt;"",CT34,IF(DA34&lt;&gt;"",DA34,IF(CY34&lt;&gt;"",CY34,IF(DC34&lt;&gt;"",DC34,IF(DB34&lt;&gt;"",DB34,""))))))))))&lt;DATEVALUE("2026-07-29"),DATEVALUE("2026-07-29")+10,IF(CW34&lt;&gt;"",CW34,IF(CU34&lt;&gt;"",CU34,IF(CV34&lt;&gt;"",CV34,IF(CX34&lt;&gt;"",CX34,IF(CZ34&lt;&gt;"",CZ34,IF(CT34&lt;&gt;"",CT34,IF(DA34&lt;&gt;"",DA34,IF(CY34&lt;&gt;"",CY34,IF(DC34&lt;&gt;"",DC34,IF(DB34&lt;&gt;"",DB34,"")))))))))))&lt;IF(BA34="",BB34,BA34)),10+IF(BA34="",BB34,BA34),IF(AND(IF(BA34="",BB34,BA34)="",IF(AP34="",AQ34,AP34)&lt;&gt;"",IF(IF(CW34&lt;&gt;"",CW34,IF(CU34&lt;&gt;"",CU34,IF(CV34&lt;&gt;"",CV34,IF(CX34&lt;&gt;"",CX34,IF(CZ34&lt;&gt;"",CZ34,IF(CT34&lt;&gt;"",CT34,IF(DA34&lt;&gt;"",DA34,IF(CY34&lt;&gt;"",CY34,IF(DC34&lt;&gt;"",DC34,IF(DB34&lt;&gt;"",DB34,""))))))))))&lt;DATEVALUE("2026-07-29"),DATEVALUE("2026-07-29")+10,IF(CW34&lt;&gt;"",CW34,IF(CU34&lt;&gt;"",CU34,IF(CV34&lt;&gt;"",CV34,IF(CX34&lt;&gt;"",CX34,IF(CZ34&lt;&gt;"",CZ34,IF(CT34&lt;&gt;"",CT34,IF(DA34&lt;&gt;"",DA34,IF(CY34&lt;&gt;"",CY34,IF(DC34&lt;&gt;"",DC34,IF(DB34&lt;&gt;"",DB34,"")))))))))))&lt;IF(AP34="",AQ34,AP34)),10+IF(AP34="",AQ34,AP34),IF(IF(CW34&lt;&gt;"",CW34,IF(CU34&lt;&gt;"",CU34,IF(CV34&lt;&gt;"",CV34,IF(CX34&lt;&gt;"",CX34,IF(CZ34&lt;&gt;"",CZ34,IF(CT34&lt;&gt;"",CT34,IF(DA34&lt;&gt;"",DA34,IF(CY34&lt;&gt;"",CY34,IF(DC34&lt;&gt;"",DC34,IF(DB34&lt;&gt;"",DB34,""))))))))))&lt;DATEVALUE("2026-07-29"),DATEVALUE("2026-07-29")+10,IF(CW34&lt;&gt;"",CW34,IF(CU34&lt;&gt;"",CU34,IF(CV34&lt;&gt;"",CV34,IF(CX34&lt;&gt;"",CX34,IF(CZ34&lt;&gt;"",CZ34,IF(CT34&lt;&gt;"",CT34,IF(DA34&lt;&gt;"",DA34,IF(CY34&lt;&gt;"",CY34,IF(DC34&lt;&gt;"",DC34,IF(DB34&lt;&gt;"",DB34,""))))))))))))))</f>
        <v>46257</v>
      </c>
      <c r="CT34" s="24">
        <v>46257</v>
      </c>
      <c r="CU34" s="24"/>
      <c r="CV34" s="24"/>
      <c r="CW34" s="24"/>
      <c r="CX34" s="24"/>
      <c r="CY34" s="24"/>
      <c r="CZ34" s="24"/>
      <c r="DA34" s="24"/>
      <c r="DB34" s="24"/>
      <c r="DC34" s="24"/>
      <c r="DD34" s="23" t="str">
        <f t="shared" ref="DD34:DD65" si="26">IF(DH34&lt;&gt;"",DH34,IF(DF34&lt;&gt;"",DF34,IF(DG34&lt;&gt;"",DG34,IF(DI34&lt;&gt;"",DI34,IF(DL34&lt;&gt;"",DL34,IF(DM34&lt;&gt;"",DM34,IF(DE34&lt;&gt;"",DE34,IF(DK34&lt;&gt;"",DK34,IF(DJ34&lt;&gt;"",DJ34,IF(DN34&lt;&gt;"",DN34,""))))))))))</f>
        <v/>
      </c>
      <c r="DE34" s="24"/>
      <c r="DF34" s="24"/>
      <c r="DG34" s="24"/>
      <c r="DH34" s="24"/>
      <c r="DI34" s="24"/>
      <c r="DJ34" s="24"/>
      <c r="DK34" s="24"/>
      <c r="DL34" s="24"/>
      <c r="DM34" s="24"/>
      <c r="DN34" s="24"/>
      <c r="DO34" s="22" t="str">
        <f t="shared" ref="DO34:DO65" si="27">IF(COUNTIF(DQ34:DY34,"&lt;&gt;"&amp;"")=0,"",IF(IF(DU34&lt;&gt;"",DU34,IF(DP34&lt;&gt;"",DP34,IF(DQ34&lt;&gt;"",DQ34,IF(DS34&lt;&gt;"",DS34,IF(DT34&lt;&gt;"",DT34,IF(DV34&lt;&gt;"",DV34,IF(DR34&lt;&gt;"",DR34,IF(DW34&lt;&gt;"",DW34,IF(DY34&lt;&gt;"",DY34,IF(DX34&lt;&gt;"",DX34,""))))))))))=DP34,"",IF(DU34&lt;&gt;"",DU34,IF(DP34&lt;&gt;"",DP34,IF(DQ34&lt;&gt;"",DQ34,IF(DS34&lt;&gt;"",DS34,IF(DT34&lt;&gt;"",DT34,IF(DV34&lt;&gt;"",DV34,IF(DR34&lt;&gt;"",DR34,IF(DW34&lt;&gt;"",DW34,IF(DY34&lt;&gt;"",DY34,IF(DX34&lt;&gt;"",DX34,""))))))))))))</f>
        <v/>
      </c>
      <c r="DR34" t="s">
        <v>117</v>
      </c>
      <c r="DZ34" s="23" t="str">
        <f t="shared" ref="DZ34:DZ65" si="28">IF(COUNTIF(EB34:EJ34,"&lt;&gt;"&amp;"")=0,"",IF(IF(ED34&lt;&gt;"",ED34,IF(EB34&lt;&gt;"",EB34,IF(EC34&lt;&gt;"",EC34,IF(EE34&lt;&gt;"",EE34,IF(EG34&lt;&gt;"",EG34,IF(EA34&lt;&gt;"",EA34,IF(EH34&lt;&gt;"",EH34,IF(EF34&lt;&gt;"",EF34,IF(EJ34&lt;&gt;"",EJ34,IF(EI34&lt;&gt;"",EI34,""))))))))))=EA34,"",IF(ED34&lt;&gt;"",ED34,IF(EB34&lt;&gt;"",EB34,IF(EC34&lt;&gt;"",EC34,IF(EE34&lt;&gt;"",EE34,IF(EG34&lt;&gt;"",EG34,IF(EA34&lt;&gt;"",EA34,IF(EH34&lt;&gt;"",EH34,IF(EF34&lt;&gt;"",EF34,IF(EJ34&lt;&gt;"",EJ34,IF(EI34&lt;&gt;"",EI34,""))))))))))))</f>
        <v/>
      </c>
      <c r="EA34" s="24"/>
      <c r="EB34" s="24"/>
      <c r="EC34" s="24"/>
      <c r="ED34" s="24"/>
      <c r="EE34" s="24"/>
      <c r="EF34" s="24"/>
      <c r="EG34" s="24"/>
      <c r="EH34" s="24"/>
      <c r="EI34" s="24"/>
      <c r="EJ34" s="24"/>
      <c r="EK34" s="23" t="str">
        <f t="shared" ref="EK34:EK65" si="29">IF(COUNTIF(EM34:EU34,"&lt;&gt;"&amp;"")=0,"",IF(IF(EO34&lt;&gt;"",EO34,IF(EM34&lt;&gt;"",EM34,IF(EN34&lt;&gt;"",EN34,IF(EP34&lt;&gt;"",EP34,IF(ES34&lt;&gt;"",ES34,IF(ET34&lt;&gt;"",ET34,IF(EL34&lt;&gt;"",EL34,IF(ER34&lt;&gt;"",ER34,IF(EQ34&lt;&gt;"",EQ34,IF(EU34&lt;&gt;"",EU34,""))))))))))=EL34,"",IF(EO34&lt;&gt;"",EO34,IF(EM34&lt;&gt;"",EM34,IF(EN34&lt;&gt;"",EN34,IF(EP34&lt;&gt;"",EP34,IF(ES34&lt;&gt;"",ES34,IF(ET34&lt;&gt;"",ET34,IF(EL34&lt;&gt;"",EL34,IF(ER34&lt;&gt;"",ER34,IF(EQ34&lt;&gt;"",EQ34,IF(EU34&lt;&gt;"",EU34,""))))))))))))</f>
        <v/>
      </c>
      <c r="EL34" s="24"/>
      <c r="EM34" s="24"/>
      <c r="EN34" s="24"/>
      <c r="EO34" s="24"/>
      <c r="EP34" s="24"/>
      <c r="EQ34" s="24"/>
      <c r="ER34" s="24"/>
      <c r="ES34" s="24"/>
      <c r="ET34" s="24"/>
      <c r="EU34" s="24"/>
      <c r="EV34" s="23" t="str">
        <f t="shared" ref="EV34:EV65" si="30">IF(COUNTIF(EX34:FF34,"&lt;&gt;"&amp;"")=0,"",IF(IF(EZ34&lt;&gt;"",EZ34,IF(EX34&lt;&gt;"",EX34,IF(EY34&lt;&gt;"",EY34,IF(FA34&lt;&gt;"",FA34,IF(FD34&lt;&gt;"",FD34,IF(FE34&lt;&gt;"",FE34,IF(EW34&lt;&gt;"",EW34,IF(FC34&lt;&gt;"",FC34,IF(FB34&lt;&gt;"",FB34,IF(FF34&lt;&gt;"",FF34,""))))))))))=EW34,"",IF(EZ34&lt;&gt;"",EZ34,IF(EX34&lt;&gt;"",EX34,IF(EY34&lt;&gt;"",EY34,IF(FA34&lt;&gt;"",FA34,IF(FD34&lt;&gt;"",FD34,IF(FE34&lt;&gt;"",FE34,IF(EW34&lt;&gt;"",EW34,IF(FC34&lt;&gt;"",FC34,IF(FB34&lt;&gt;"",FB34,IF(FF34&lt;&gt;"",FF34,""))))))))))))</f>
        <v/>
      </c>
      <c r="EW34" s="24"/>
      <c r="EX34" s="24"/>
      <c r="EY34" s="24"/>
      <c r="EZ34" s="24"/>
      <c r="FA34" s="24"/>
      <c r="FB34" s="24"/>
      <c r="FC34" s="24"/>
      <c r="FD34" s="24"/>
      <c r="FE34" s="24"/>
      <c r="FF34" s="24"/>
      <c r="FG34" s="23" t="str">
        <f t="shared" ref="FG34:FG65" si="31">IF(COUNTIF(FI34:FQ34,"&lt;&gt;"&amp;"")=0,"",IF(IF(FK34&lt;&gt;"",FK34,IF(FI34&lt;&gt;"",FI34,IF(FJ34&lt;&gt;"",FJ34,IF(FL34&lt;&gt;"",FL34,IF(FO34&lt;&gt;"",FO34,IF(FP34&lt;&gt;"",FP34,IF(FH34&lt;&gt;"",FH34,IF(FN34&lt;&gt;"",FN34,IF(FM34&lt;&gt;"",FM34,IF(FQ34&lt;&gt;"",FQ34,""))))))))))=FH34,"",IF(FK34&lt;&gt;"",FK34,IF(FI34&lt;&gt;"",FI34,IF(FJ34&lt;&gt;"",FJ34,IF(FL34&lt;&gt;"",FL34,IF(FO34&lt;&gt;"",FO34,IF(FP34&lt;&gt;"",FP34,IF(FH34&lt;&gt;"",FH34,IF(FN34&lt;&gt;"",FN34,IF(FM34&lt;&gt;"",FM34,IF(FQ34&lt;&gt;"",FQ34,""))))))))))))</f>
        <v/>
      </c>
      <c r="FH34" s="24"/>
      <c r="FI34" s="24"/>
      <c r="FJ34" s="24"/>
      <c r="FK34" s="24"/>
      <c r="FL34" s="24"/>
      <c r="FM34" s="24"/>
      <c r="FN34" s="24"/>
      <c r="FO34" s="24"/>
      <c r="FP34" s="24"/>
      <c r="FQ34" s="24"/>
    </row>
    <row r="35" spans="1:173" x14ac:dyDescent="0.25">
      <c r="A35">
        <v>4138</v>
      </c>
      <c r="B35" t="str">
        <f t="shared" si="16"/>
        <v>TCNU5688571|SULPSOL000332LAX</v>
      </c>
      <c r="C35" s="24">
        <v>46217.395624999997</v>
      </c>
      <c r="E35" t="s">
        <v>535</v>
      </c>
      <c r="F35" t="s">
        <v>414</v>
      </c>
      <c r="G35" t="s">
        <v>536</v>
      </c>
      <c r="H35" t="s">
        <v>537</v>
      </c>
      <c r="I35" s="22" t="str">
        <f t="shared" si="17"/>
        <v/>
      </c>
      <c r="J35" t="s">
        <v>537</v>
      </c>
      <c r="K35" t="s">
        <v>117</v>
      </c>
      <c r="L35" t="s">
        <v>117</v>
      </c>
      <c r="M35" t="s">
        <v>117</v>
      </c>
      <c r="N35" t="s">
        <v>117</v>
      </c>
      <c r="O35" t="s">
        <v>117</v>
      </c>
      <c r="P35" t="s">
        <v>117</v>
      </c>
      <c r="Q35" t="s">
        <v>117</v>
      </c>
      <c r="R35" t="s">
        <v>117</v>
      </c>
      <c r="S35" t="s">
        <v>117</v>
      </c>
      <c r="T35" s="22" t="str">
        <f t="shared" si="18"/>
        <v/>
      </c>
      <c r="U35" t="s">
        <v>538</v>
      </c>
      <c r="V35" t="s">
        <v>117</v>
      </c>
      <c r="X35" t="s">
        <v>117</v>
      </c>
      <c r="Y35" t="s">
        <v>117</v>
      </c>
      <c r="AA35" t="s">
        <v>117</v>
      </c>
      <c r="AB35" t="s">
        <v>117</v>
      </c>
      <c r="AC35" t="s">
        <v>117</v>
      </c>
      <c r="AE35" s="23" t="str">
        <f t="shared" si="19"/>
        <v/>
      </c>
      <c r="AF35" s="24">
        <v>46219</v>
      </c>
      <c r="AG35" s="24"/>
      <c r="AH35" s="24"/>
      <c r="AI35" s="24"/>
      <c r="AJ35" s="24"/>
      <c r="AK35" s="24"/>
      <c r="AL35" s="24"/>
      <c r="AM35" s="24"/>
      <c r="AN35" s="24"/>
      <c r="AO35" s="24"/>
      <c r="AP35" s="23" t="str">
        <f t="shared" si="20"/>
        <v/>
      </c>
      <c r="AQ35" s="24">
        <v>46256</v>
      </c>
      <c r="AR35" s="24"/>
      <c r="AS35" s="24"/>
      <c r="AT35" s="24"/>
      <c r="AU35" s="24"/>
      <c r="AV35" s="24"/>
      <c r="AW35" s="24"/>
      <c r="AX35" s="24"/>
      <c r="AY35" s="24"/>
      <c r="AZ35" s="24"/>
      <c r="BA35" s="23" t="str">
        <f t="shared" si="21"/>
        <v/>
      </c>
      <c r="BB35" s="24"/>
      <c r="BC35" s="24"/>
      <c r="BD35" s="24"/>
      <c r="BE35" s="24"/>
      <c r="BF35" s="24"/>
      <c r="BG35" s="24"/>
      <c r="BH35" s="24"/>
      <c r="BI35" s="24"/>
      <c r="BJ35" s="24"/>
      <c r="BK35" s="24"/>
      <c r="BL35" s="23" t="str">
        <f t="shared" si="22"/>
        <v/>
      </c>
      <c r="BM35" s="24"/>
      <c r="BN35" s="24"/>
      <c r="BO35" s="24"/>
      <c r="BP35" s="24"/>
      <c r="BQ35" s="24"/>
      <c r="BR35" s="24"/>
      <c r="BS35" s="24"/>
      <c r="BT35" s="24"/>
      <c r="BU35" s="24"/>
      <c r="BV35" s="24"/>
      <c r="BW35" s="23" t="str">
        <f t="shared" si="23"/>
        <v/>
      </c>
      <c r="BX35" s="24"/>
      <c r="BY35" s="24"/>
      <c r="BZ35" s="24"/>
      <c r="CA35" s="24"/>
      <c r="CB35" s="24"/>
      <c r="CC35" s="24"/>
      <c r="CD35" s="24"/>
      <c r="CE35" s="24"/>
      <c r="CF35" s="24"/>
      <c r="CG35" s="24"/>
      <c r="CH35" s="23" t="str">
        <f t="shared" si="24"/>
        <v/>
      </c>
      <c r="CI35" s="24"/>
      <c r="CJ35" s="24"/>
      <c r="CK35" s="24"/>
      <c r="CL35" s="24"/>
      <c r="CM35" s="24"/>
      <c r="CN35" s="24"/>
      <c r="CO35" s="24"/>
      <c r="CP35" s="24"/>
      <c r="CQ35" s="24"/>
      <c r="CR35" s="24"/>
      <c r="CS35" s="23">
        <f t="shared" si="25"/>
        <v>46261</v>
      </c>
      <c r="CT35" s="24">
        <v>46261</v>
      </c>
      <c r="CU35" s="24"/>
      <c r="CV35" s="24"/>
      <c r="CW35" s="24"/>
      <c r="CX35" s="24"/>
      <c r="CY35" s="24"/>
      <c r="CZ35" s="24"/>
      <c r="DA35" s="24"/>
      <c r="DB35" s="24"/>
      <c r="DC35" s="24"/>
      <c r="DD35" s="23" t="str">
        <f t="shared" si="26"/>
        <v/>
      </c>
      <c r="DE35" s="24"/>
      <c r="DF35" s="24"/>
      <c r="DG35" s="24"/>
      <c r="DH35" s="24"/>
      <c r="DI35" s="24"/>
      <c r="DJ35" s="24"/>
      <c r="DK35" s="24"/>
      <c r="DL35" s="24"/>
      <c r="DM35" s="24"/>
      <c r="DN35" s="24"/>
      <c r="DO35" s="22" t="str">
        <f t="shared" si="27"/>
        <v/>
      </c>
      <c r="DR35" t="s">
        <v>117</v>
      </c>
      <c r="DZ35" s="23" t="str">
        <f t="shared" si="28"/>
        <v/>
      </c>
      <c r="EA35" s="24"/>
      <c r="EB35" s="24"/>
      <c r="EC35" s="24"/>
      <c r="ED35" s="24"/>
      <c r="EE35" s="24"/>
      <c r="EF35" s="24"/>
      <c r="EG35" s="24"/>
      <c r="EH35" s="24"/>
      <c r="EI35" s="24"/>
      <c r="EJ35" s="24"/>
      <c r="EK35" s="23" t="str">
        <f t="shared" si="29"/>
        <v/>
      </c>
      <c r="EL35" s="24"/>
      <c r="EM35" s="24"/>
      <c r="EN35" s="24"/>
      <c r="EO35" s="24"/>
      <c r="EP35" s="24"/>
      <c r="EQ35" s="24"/>
      <c r="ER35" s="24"/>
      <c r="ES35" s="24"/>
      <c r="ET35" s="24"/>
      <c r="EU35" s="24"/>
      <c r="EV35" s="23" t="str">
        <f t="shared" si="30"/>
        <v/>
      </c>
      <c r="EW35" s="24"/>
      <c r="EX35" s="24"/>
      <c r="EY35" s="24"/>
      <c r="EZ35" s="24"/>
      <c r="FA35" s="24"/>
      <c r="FB35" s="24"/>
      <c r="FC35" s="24"/>
      <c r="FD35" s="24"/>
      <c r="FE35" s="24"/>
      <c r="FF35" s="24"/>
      <c r="FG35" s="23" t="str">
        <f t="shared" si="31"/>
        <v/>
      </c>
      <c r="FH35" s="24"/>
      <c r="FI35" s="24"/>
      <c r="FJ35" s="24"/>
      <c r="FK35" s="24"/>
      <c r="FL35" s="24"/>
      <c r="FM35" s="24"/>
      <c r="FN35" s="24"/>
      <c r="FO35" s="24"/>
      <c r="FP35" s="24"/>
      <c r="FQ35" s="24"/>
    </row>
    <row r="36" spans="1:173" x14ac:dyDescent="0.25">
      <c r="A36">
        <v>4139</v>
      </c>
      <c r="B36" t="str">
        <f t="shared" si="16"/>
        <v>HAMU3350120|HLCUBKK260726461</v>
      </c>
      <c r="C36" s="24">
        <v>46217.401956018519</v>
      </c>
      <c r="E36" t="s">
        <v>539</v>
      </c>
      <c r="F36" t="s">
        <v>434</v>
      </c>
      <c r="G36" t="s">
        <v>540</v>
      </c>
      <c r="H36" t="s">
        <v>541</v>
      </c>
      <c r="I36" s="22" t="str">
        <f t="shared" si="17"/>
        <v/>
      </c>
      <c r="J36" t="s">
        <v>541</v>
      </c>
      <c r="K36" t="s">
        <v>541</v>
      </c>
      <c r="L36" t="s">
        <v>117</v>
      </c>
      <c r="M36" t="s">
        <v>117</v>
      </c>
      <c r="N36" t="s">
        <v>541</v>
      </c>
      <c r="O36" t="s">
        <v>117</v>
      </c>
      <c r="P36" t="s">
        <v>117</v>
      </c>
      <c r="Q36" t="s">
        <v>117</v>
      </c>
      <c r="R36" t="s">
        <v>541</v>
      </c>
      <c r="S36" t="s">
        <v>117</v>
      </c>
      <c r="T36" s="22" t="str">
        <f t="shared" si="18"/>
        <v/>
      </c>
      <c r="U36" t="s">
        <v>542</v>
      </c>
      <c r="V36" t="s">
        <v>542</v>
      </c>
      <c r="X36" t="s">
        <v>117</v>
      </c>
      <c r="Y36" t="s">
        <v>542</v>
      </c>
      <c r="AA36" t="s">
        <v>117</v>
      </c>
      <c r="AB36" t="s">
        <v>117</v>
      </c>
      <c r="AC36" t="s">
        <v>542</v>
      </c>
      <c r="AE36" s="23" t="str">
        <f t="shared" si="19"/>
        <v/>
      </c>
      <c r="AF36" s="24">
        <v>46220</v>
      </c>
      <c r="AG36" s="24">
        <v>46220</v>
      </c>
      <c r="AH36" s="24"/>
      <c r="AI36" s="24"/>
      <c r="AJ36" s="24"/>
      <c r="AK36" s="24"/>
      <c r="AL36" s="24"/>
      <c r="AM36" s="24"/>
      <c r="AN36" s="24">
        <v>46220</v>
      </c>
      <c r="AO36" s="24"/>
      <c r="AP36" s="23" t="str">
        <f t="shared" si="20"/>
        <v/>
      </c>
      <c r="AQ36" s="24">
        <v>46264</v>
      </c>
      <c r="AR36" s="24">
        <v>46264</v>
      </c>
      <c r="AS36" s="24"/>
      <c r="AT36" s="24"/>
      <c r="AU36" s="24">
        <v>46264.791666666664</v>
      </c>
      <c r="AV36" s="24"/>
      <c r="AW36" s="24"/>
      <c r="AX36" s="24"/>
      <c r="AY36" s="24">
        <v>46264</v>
      </c>
      <c r="AZ36" s="24"/>
      <c r="BA36" s="23" t="str">
        <f t="shared" si="21"/>
        <v/>
      </c>
      <c r="BB36" s="24"/>
      <c r="BC36" s="24"/>
      <c r="BD36" s="24"/>
      <c r="BE36" s="24"/>
      <c r="BF36" s="24"/>
      <c r="BG36" s="24"/>
      <c r="BH36" s="24"/>
      <c r="BI36" s="24"/>
      <c r="BJ36" s="24"/>
      <c r="BK36" s="24"/>
      <c r="BL36" s="23" t="str">
        <f t="shared" si="22"/>
        <v/>
      </c>
      <c r="BM36" s="24">
        <v>46264</v>
      </c>
      <c r="BN36" s="24">
        <v>46264</v>
      </c>
      <c r="BO36" s="24"/>
      <c r="BP36" s="24"/>
      <c r="BQ36" s="24"/>
      <c r="BR36" s="24"/>
      <c r="BS36" s="24"/>
      <c r="BT36" s="24"/>
      <c r="BU36" s="24">
        <v>46264</v>
      </c>
      <c r="BV36" s="24"/>
      <c r="BW36" s="23" t="str">
        <f t="shared" si="23"/>
        <v/>
      </c>
      <c r="BX36" s="24"/>
      <c r="BY36" s="24"/>
      <c r="BZ36" s="24"/>
      <c r="CA36" s="24"/>
      <c r="CB36" s="24"/>
      <c r="CC36" s="24"/>
      <c r="CD36" s="24"/>
      <c r="CE36" s="24"/>
      <c r="CF36" s="24"/>
      <c r="CG36" s="24"/>
      <c r="CH36" s="23" t="str">
        <f t="shared" si="24"/>
        <v/>
      </c>
      <c r="CI36" s="24"/>
      <c r="CJ36" s="24"/>
      <c r="CK36" s="24"/>
      <c r="CL36" s="24"/>
      <c r="CM36" s="24"/>
      <c r="CN36" s="24"/>
      <c r="CO36" s="24"/>
      <c r="CP36" s="24"/>
      <c r="CQ36" s="24"/>
      <c r="CR36" s="24"/>
      <c r="CS36" s="23">
        <f t="shared" si="25"/>
        <v>46269</v>
      </c>
      <c r="CT36" s="24">
        <v>46269</v>
      </c>
      <c r="CU36" s="24">
        <v>46269</v>
      </c>
      <c r="CV36" s="24"/>
      <c r="CW36" s="24"/>
      <c r="CX36" s="24"/>
      <c r="CY36" s="24"/>
      <c r="CZ36" s="24"/>
      <c r="DA36" s="24"/>
      <c r="DB36" s="24"/>
      <c r="DC36" s="24"/>
      <c r="DD36" s="23" t="str">
        <f t="shared" si="26"/>
        <v/>
      </c>
      <c r="DE36" s="24"/>
      <c r="DF36" s="24"/>
      <c r="DG36" s="24"/>
      <c r="DH36" s="24"/>
      <c r="DI36" s="24"/>
      <c r="DJ36" s="24"/>
      <c r="DK36" s="24"/>
      <c r="DL36" s="24"/>
      <c r="DM36" s="24"/>
      <c r="DN36" s="24"/>
      <c r="DO36" s="22" t="str">
        <f t="shared" si="27"/>
        <v/>
      </c>
      <c r="DR36" t="s">
        <v>117</v>
      </c>
      <c r="DZ36" s="23" t="str">
        <f t="shared" si="28"/>
        <v/>
      </c>
      <c r="EA36" s="24"/>
      <c r="EB36" s="24"/>
      <c r="EC36" s="24"/>
      <c r="ED36" s="24"/>
      <c r="EE36" s="24"/>
      <c r="EF36" s="24"/>
      <c r="EG36" s="24"/>
      <c r="EH36" s="24"/>
      <c r="EI36" s="24"/>
      <c r="EJ36" s="24"/>
      <c r="EK36" s="23" t="str">
        <f t="shared" si="29"/>
        <v/>
      </c>
      <c r="EL36" s="24"/>
      <c r="EM36" s="24"/>
      <c r="EN36" s="24"/>
      <c r="EO36" s="24"/>
      <c r="EP36" s="24"/>
      <c r="EQ36" s="24"/>
      <c r="ER36" s="24"/>
      <c r="ES36" s="24"/>
      <c r="ET36" s="24"/>
      <c r="EU36" s="24"/>
      <c r="EV36" s="23" t="str">
        <f t="shared" si="30"/>
        <v/>
      </c>
      <c r="EW36" s="24"/>
      <c r="EX36" s="24"/>
      <c r="EY36" s="24"/>
      <c r="EZ36" s="24"/>
      <c r="FA36" s="24"/>
      <c r="FB36" s="24"/>
      <c r="FC36" s="24"/>
      <c r="FD36" s="24"/>
      <c r="FE36" s="24"/>
      <c r="FF36" s="24"/>
      <c r="FG36" s="23" t="str">
        <f t="shared" si="31"/>
        <v/>
      </c>
      <c r="FH36" s="24"/>
      <c r="FI36" s="24"/>
      <c r="FJ36" s="24"/>
      <c r="FK36" s="24"/>
      <c r="FL36" s="24"/>
      <c r="FM36" s="24"/>
      <c r="FN36" s="24"/>
      <c r="FO36" s="24"/>
      <c r="FP36" s="24"/>
      <c r="FQ36" s="24"/>
    </row>
    <row r="37" spans="1:173" x14ac:dyDescent="0.25">
      <c r="A37">
        <v>4141</v>
      </c>
      <c r="B37" t="str">
        <f t="shared" si="16"/>
        <v>CAIU7666475|SGNM29842002</v>
      </c>
      <c r="C37" s="24">
        <v>46218.390775462962</v>
      </c>
      <c r="E37" t="s">
        <v>543</v>
      </c>
      <c r="F37" t="s">
        <v>434</v>
      </c>
      <c r="G37" t="s">
        <v>544</v>
      </c>
      <c r="H37" t="s">
        <v>545</v>
      </c>
      <c r="I37" s="22" t="str">
        <f t="shared" si="17"/>
        <v/>
      </c>
      <c r="J37" t="s">
        <v>545</v>
      </c>
      <c r="K37" t="s">
        <v>117</v>
      </c>
      <c r="L37" t="s">
        <v>117</v>
      </c>
      <c r="M37" t="s">
        <v>117</v>
      </c>
      <c r="N37" t="s">
        <v>117</v>
      </c>
      <c r="O37" t="s">
        <v>117</v>
      </c>
      <c r="P37" t="s">
        <v>117</v>
      </c>
      <c r="Q37" t="s">
        <v>117</v>
      </c>
      <c r="R37" t="s">
        <v>117</v>
      </c>
      <c r="S37" t="s">
        <v>117</v>
      </c>
      <c r="T37" s="22" t="str">
        <f t="shared" si="18"/>
        <v/>
      </c>
      <c r="U37" t="s">
        <v>546</v>
      </c>
      <c r="V37" t="s">
        <v>117</v>
      </c>
      <c r="X37" t="s">
        <v>117</v>
      </c>
      <c r="Y37" t="s">
        <v>117</v>
      </c>
      <c r="AA37" t="s">
        <v>117</v>
      </c>
      <c r="AB37" t="s">
        <v>117</v>
      </c>
      <c r="AC37" t="s">
        <v>117</v>
      </c>
      <c r="AE37" s="23" t="str">
        <f t="shared" si="19"/>
        <v/>
      </c>
      <c r="AF37" s="24">
        <v>46217</v>
      </c>
      <c r="AG37" s="24"/>
      <c r="AH37" s="24"/>
      <c r="AI37" s="24"/>
      <c r="AJ37" s="24"/>
      <c r="AK37" s="24"/>
      <c r="AL37" s="24"/>
      <c r="AM37" s="24"/>
      <c r="AN37" s="24"/>
      <c r="AO37" s="24"/>
      <c r="AP37" s="23" t="str">
        <f t="shared" si="20"/>
        <v/>
      </c>
      <c r="AQ37" s="24">
        <v>46238</v>
      </c>
      <c r="AR37" s="24"/>
      <c r="AS37" s="24"/>
      <c r="AT37" s="24"/>
      <c r="AU37" s="24"/>
      <c r="AV37" s="24"/>
      <c r="AW37" s="24"/>
      <c r="AX37" s="24"/>
      <c r="AY37" s="24"/>
      <c r="AZ37" s="24"/>
      <c r="BA37" s="23" t="str">
        <f t="shared" si="21"/>
        <v/>
      </c>
      <c r="BB37" s="24"/>
      <c r="BC37" s="24"/>
      <c r="BD37" s="24"/>
      <c r="BE37" s="24"/>
      <c r="BF37" s="24"/>
      <c r="BG37" s="24"/>
      <c r="BH37" s="24"/>
      <c r="BI37" s="24"/>
      <c r="BJ37" s="24"/>
      <c r="BK37" s="24"/>
      <c r="BL37" s="23" t="str">
        <f t="shared" si="22"/>
        <v/>
      </c>
      <c r="BM37" s="24"/>
      <c r="BN37" s="24"/>
      <c r="BO37" s="24"/>
      <c r="BP37" s="24"/>
      <c r="BQ37" s="24"/>
      <c r="BR37" s="24"/>
      <c r="BS37" s="24"/>
      <c r="BT37" s="24"/>
      <c r="BU37" s="24"/>
      <c r="BV37" s="24"/>
      <c r="BW37" s="23" t="str">
        <f t="shared" si="23"/>
        <v/>
      </c>
      <c r="BX37" s="24"/>
      <c r="BY37" s="24"/>
      <c r="BZ37" s="24"/>
      <c r="CA37" s="24"/>
      <c r="CB37" s="24"/>
      <c r="CC37" s="24"/>
      <c r="CD37" s="24"/>
      <c r="CE37" s="24"/>
      <c r="CF37" s="24"/>
      <c r="CG37" s="24"/>
      <c r="CH37" s="23" t="str">
        <f t="shared" si="24"/>
        <v/>
      </c>
      <c r="CI37" s="24"/>
      <c r="CJ37" s="24"/>
      <c r="CK37" s="24"/>
      <c r="CL37" s="24"/>
      <c r="CM37" s="24"/>
      <c r="CN37" s="24"/>
      <c r="CO37" s="24"/>
      <c r="CP37" s="24"/>
      <c r="CQ37" s="24"/>
      <c r="CR37" s="24"/>
      <c r="CS37" s="23">
        <f t="shared" si="25"/>
        <v>46243</v>
      </c>
      <c r="CT37" s="24">
        <v>46243</v>
      </c>
      <c r="CU37" s="24"/>
      <c r="CV37" s="24"/>
      <c r="CW37" s="24"/>
      <c r="CX37" s="24"/>
      <c r="CY37" s="24"/>
      <c r="CZ37" s="24"/>
      <c r="DA37" s="24"/>
      <c r="DB37" s="24"/>
      <c r="DC37" s="24"/>
      <c r="DD37" s="23" t="str">
        <f t="shared" si="26"/>
        <v/>
      </c>
      <c r="DE37" s="24"/>
      <c r="DF37" s="24"/>
      <c r="DG37" s="24"/>
      <c r="DH37" s="24"/>
      <c r="DI37" s="24"/>
      <c r="DJ37" s="24"/>
      <c r="DK37" s="24"/>
      <c r="DL37" s="24"/>
      <c r="DM37" s="24"/>
      <c r="DN37" s="24"/>
      <c r="DO37" s="22" t="str">
        <f t="shared" si="27"/>
        <v/>
      </c>
      <c r="DR37" t="s">
        <v>117</v>
      </c>
      <c r="DZ37" s="23" t="str">
        <f t="shared" si="28"/>
        <v/>
      </c>
      <c r="EA37" s="24"/>
      <c r="EB37" s="24"/>
      <c r="EC37" s="24"/>
      <c r="ED37" s="24"/>
      <c r="EE37" s="24"/>
      <c r="EF37" s="24"/>
      <c r="EG37" s="24"/>
      <c r="EH37" s="24"/>
      <c r="EI37" s="24"/>
      <c r="EJ37" s="24"/>
      <c r="EK37" s="23" t="str">
        <f t="shared" si="29"/>
        <v/>
      </c>
      <c r="EL37" s="24"/>
      <c r="EM37" s="24"/>
      <c r="EN37" s="24"/>
      <c r="EO37" s="24"/>
      <c r="EP37" s="24"/>
      <c r="EQ37" s="24"/>
      <c r="ER37" s="24"/>
      <c r="ES37" s="24"/>
      <c r="ET37" s="24"/>
      <c r="EU37" s="24"/>
      <c r="EV37" s="23" t="str">
        <f t="shared" si="30"/>
        <v/>
      </c>
      <c r="EW37" s="24"/>
      <c r="EX37" s="24"/>
      <c r="EY37" s="24"/>
      <c r="EZ37" s="24"/>
      <c r="FA37" s="24"/>
      <c r="FB37" s="24"/>
      <c r="FC37" s="24"/>
      <c r="FD37" s="24"/>
      <c r="FE37" s="24"/>
      <c r="FF37" s="24"/>
      <c r="FG37" s="23" t="str">
        <f t="shared" si="31"/>
        <v/>
      </c>
      <c r="FH37" s="24"/>
      <c r="FI37" s="24"/>
      <c r="FJ37" s="24"/>
      <c r="FK37" s="24"/>
      <c r="FL37" s="24"/>
      <c r="FM37" s="24"/>
      <c r="FN37" s="24"/>
      <c r="FO37" s="24"/>
      <c r="FP37" s="24"/>
      <c r="FQ37" s="24"/>
    </row>
    <row r="38" spans="1:173" x14ac:dyDescent="0.25">
      <c r="A38">
        <v>4143</v>
      </c>
      <c r="B38" t="str">
        <f t="shared" si="16"/>
        <v>MRSU6491926|MAEU274152166</v>
      </c>
      <c r="C38" s="24">
        <v>46220.262395833335</v>
      </c>
      <c r="E38" t="s">
        <v>547</v>
      </c>
      <c r="G38" t="s">
        <v>548</v>
      </c>
      <c r="H38" t="s">
        <v>549</v>
      </c>
      <c r="I38" s="22" t="str">
        <f t="shared" si="17"/>
        <v/>
      </c>
      <c r="J38" t="s">
        <v>549</v>
      </c>
      <c r="K38" t="s">
        <v>117</v>
      </c>
      <c r="L38" t="s">
        <v>117</v>
      </c>
      <c r="M38" t="s">
        <v>117</v>
      </c>
      <c r="N38" t="s">
        <v>117</v>
      </c>
      <c r="O38" t="s">
        <v>117</v>
      </c>
      <c r="P38" t="s">
        <v>117</v>
      </c>
      <c r="Q38" t="s">
        <v>117</v>
      </c>
      <c r="R38" t="s">
        <v>117</v>
      </c>
      <c r="S38" t="s">
        <v>117</v>
      </c>
      <c r="T38" s="22" t="str">
        <f t="shared" si="18"/>
        <v/>
      </c>
      <c r="U38" t="s">
        <v>550</v>
      </c>
      <c r="V38" t="s">
        <v>117</v>
      </c>
      <c r="X38" t="s">
        <v>117</v>
      </c>
      <c r="Y38" t="s">
        <v>117</v>
      </c>
      <c r="AA38" t="s">
        <v>117</v>
      </c>
      <c r="AB38" t="s">
        <v>117</v>
      </c>
      <c r="AC38" t="s">
        <v>117</v>
      </c>
      <c r="AE38" s="23" t="str">
        <f t="shared" si="19"/>
        <v/>
      </c>
      <c r="AF38" s="24">
        <v>46238</v>
      </c>
      <c r="AG38" s="24"/>
      <c r="AH38" s="24"/>
      <c r="AI38" s="24"/>
      <c r="AJ38" s="24"/>
      <c r="AK38" s="24"/>
      <c r="AL38" s="24"/>
      <c r="AM38" s="24"/>
      <c r="AN38" s="24"/>
      <c r="AO38" s="24"/>
      <c r="AP38" s="23" t="str">
        <f t="shared" si="20"/>
        <v/>
      </c>
      <c r="AQ38" s="24">
        <v>46248</v>
      </c>
      <c r="AR38" s="24"/>
      <c r="AS38" s="24"/>
      <c r="AT38" s="24"/>
      <c r="AU38" s="24"/>
      <c r="AV38" s="24"/>
      <c r="AW38" s="24"/>
      <c r="AX38" s="24"/>
      <c r="AY38" s="24"/>
      <c r="AZ38" s="24"/>
      <c r="BA38" s="23" t="str">
        <f t="shared" si="21"/>
        <v/>
      </c>
      <c r="BB38" s="24"/>
      <c r="BC38" s="24"/>
      <c r="BD38" s="24"/>
      <c r="BE38" s="24"/>
      <c r="BF38" s="24"/>
      <c r="BG38" s="24"/>
      <c r="BH38" s="24"/>
      <c r="BI38" s="24"/>
      <c r="BJ38" s="24"/>
      <c r="BK38" s="24"/>
      <c r="BL38" s="23" t="str">
        <f t="shared" si="22"/>
        <v/>
      </c>
      <c r="BM38" s="24"/>
      <c r="BN38" s="24"/>
      <c r="BO38" s="24"/>
      <c r="BP38" s="24"/>
      <c r="BQ38" s="24"/>
      <c r="BR38" s="24"/>
      <c r="BS38" s="24"/>
      <c r="BT38" s="24"/>
      <c r="BU38" s="24"/>
      <c r="BV38" s="24"/>
      <c r="BW38" s="23" t="str">
        <f t="shared" si="23"/>
        <v/>
      </c>
      <c r="BX38" s="24"/>
      <c r="BY38" s="24"/>
      <c r="BZ38" s="24"/>
      <c r="CA38" s="24"/>
      <c r="CB38" s="24"/>
      <c r="CC38" s="24"/>
      <c r="CD38" s="24"/>
      <c r="CE38" s="24"/>
      <c r="CF38" s="24"/>
      <c r="CG38" s="24"/>
      <c r="CH38" s="23" t="str">
        <f t="shared" si="24"/>
        <v/>
      </c>
      <c r="CI38" s="24"/>
      <c r="CJ38" s="24"/>
      <c r="CK38" s="24"/>
      <c r="CL38" s="24"/>
      <c r="CM38" s="24"/>
      <c r="CN38" s="24"/>
      <c r="CO38" s="24"/>
      <c r="CP38" s="24"/>
      <c r="CQ38" s="24"/>
      <c r="CR38" s="24"/>
      <c r="CS38" s="23">
        <f t="shared" si="25"/>
        <v>46253</v>
      </c>
      <c r="CT38" s="24">
        <v>46253</v>
      </c>
      <c r="CU38" s="24"/>
      <c r="CV38" s="24"/>
      <c r="CW38" s="24"/>
      <c r="CX38" s="24"/>
      <c r="CY38" s="24"/>
      <c r="CZ38" s="24"/>
      <c r="DA38" s="24"/>
      <c r="DB38" s="24"/>
      <c r="DC38" s="24"/>
      <c r="DD38" s="23" t="str">
        <f t="shared" si="26"/>
        <v/>
      </c>
      <c r="DE38" s="24"/>
      <c r="DF38" s="24"/>
      <c r="DG38" s="24"/>
      <c r="DH38" s="24"/>
      <c r="DI38" s="24"/>
      <c r="DJ38" s="24"/>
      <c r="DK38" s="24"/>
      <c r="DL38" s="24"/>
      <c r="DM38" s="24"/>
      <c r="DN38" s="24"/>
      <c r="DO38" s="22" t="str">
        <f t="shared" si="27"/>
        <v/>
      </c>
      <c r="DR38" t="s">
        <v>117</v>
      </c>
      <c r="DZ38" s="23" t="str">
        <f t="shared" si="28"/>
        <v/>
      </c>
      <c r="EA38" s="24"/>
      <c r="EB38" s="24"/>
      <c r="EC38" s="24"/>
      <c r="ED38" s="24"/>
      <c r="EE38" s="24"/>
      <c r="EF38" s="24"/>
      <c r="EG38" s="24"/>
      <c r="EH38" s="24"/>
      <c r="EI38" s="24"/>
      <c r="EJ38" s="24"/>
      <c r="EK38" s="23" t="str">
        <f t="shared" si="29"/>
        <v/>
      </c>
      <c r="EL38" s="24"/>
      <c r="EM38" s="24"/>
      <c r="EN38" s="24"/>
      <c r="EO38" s="24"/>
      <c r="EP38" s="24"/>
      <c r="EQ38" s="24"/>
      <c r="ER38" s="24"/>
      <c r="ES38" s="24"/>
      <c r="ET38" s="24"/>
      <c r="EU38" s="24"/>
      <c r="EV38" s="23" t="str">
        <f t="shared" si="30"/>
        <v/>
      </c>
      <c r="EW38" s="24"/>
      <c r="EX38" s="24"/>
      <c r="EY38" s="24"/>
      <c r="EZ38" s="24"/>
      <c r="FA38" s="24"/>
      <c r="FB38" s="24"/>
      <c r="FC38" s="24"/>
      <c r="FD38" s="24"/>
      <c r="FE38" s="24"/>
      <c r="FF38" s="24"/>
      <c r="FG38" s="23" t="str">
        <f t="shared" si="31"/>
        <v/>
      </c>
      <c r="FH38" s="24"/>
      <c r="FI38" s="24"/>
      <c r="FJ38" s="24"/>
      <c r="FK38" s="24"/>
      <c r="FL38" s="24"/>
      <c r="FM38" s="24"/>
      <c r="FN38" s="24"/>
      <c r="FO38" s="24"/>
      <c r="FP38" s="24"/>
      <c r="FQ38" s="24"/>
    </row>
    <row r="39" spans="1:173" x14ac:dyDescent="0.25">
      <c r="A39">
        <v>4145</v>
      </c>
      <c r="B39" t="str">
        <f t="shared" si="16"/>
        <v>SMCU1282384|KBLYFDP26070001</v>
      </c>
      <c r="C39" s="24">
        <v>46223.587534722225</v>
      </c>
      <c r="E39" t="s">
        <v>551</v>
      </c>
      <c r="G39" t="s">
        <v>552</v>
      </c>
      <c r="H39" t="s">
        <v>553</v>
      </c>
      <c r="I39" s="22" t="str">
        <f t="shared" si="17"/>
        <v/>
      </c>
      <c r="K39" t="s">
        <v>117</v>
      </c>
      <c r="L39" t="s">
        <v>117</v>
      </c>
      <c r="M39" t="s">
        <v>117</v>
      </c>
      <c r="N39" t="s">
        <v>117</v>
      </c>
      <c r="O39" t="s">
        <v>117</v>
      </c>
      <c r="P39" t="s">
        <v>117</v>
      </c>
      <c r="Q39" t="s">
        <v>117</v>
      </c>
      <c r="R39" t="s">
        <v>117</v>
      </c>
      <c r="S39" t="s">
        <v>117</v>
      </c>
      <c r="T39" s="22" t="str">
        <f t="shared" si="18"/>
        <v/>
      </c>
      <c r="U39" t="s">
        <v>554</v>
      </c>
      <c r="V39" t="s">
        <v>117</v>
      </c>
      <c r="X39" t="s">
        <v>117</v>
      </c>
      <c r="Y39" t="s">
        <v>117</v>
      </c>
      <c r="AA39" t="s">
        <v>117</v>
      </c>
      <c r="AB39" t="s">
        <v>117</v>
      </c>
      <c r="AC39" t="s">
        <v>117</v>
      </c>
      <c r="AE39" s="23" t="str">
        <f t="shared" si="19"/>
        <v/>
      </c>
      <c r="AF39" s="24">
        <v>46225</v>
      </c>
      <c r="AG39" s="24"/>
      <c r="AH39" s="24"/>
      <c r="AI39" s="24"/>
      <c r="AJ39" s="24"/>
      <c r="AK39" s="24"/>
      <c r="AL39" s="24"/>
      <c r="AM39" s="24"/>
      <c r="AN39" s="24"/>
      <c r="AO39" s="24"/>
      <c r="AP39" s="23" t="str">
        <f t="shared" si="20"/>
        <v/>
      </c>
      <c r="AQ39" s="24">
        <v>46256</v>
      </c>
      <c r="AR39" s="24"/>
      <c r="AS39" s="24"/>
      <c r="AT39" s="24"/>
      <c r="AU39" s="24"/>
      <c r="AV39" s="24"/>
      <c r="AW39" s="24"/>
      <c r="AX39" s="24"/>
      <c r="AY39" s="24"/>
      <c r="AZ39" s="24"/>
      <c r="BA39" s="23" t="str">
        <f t="shared" si="21"/>
        <v/>
      </c>
      <c r="BB39" s="24"/>
      <c r="BC39" s="24"/>
      <c r="BD39" s="24"/>
      <c r="BE39" s="24"/>
      <c r="BF39" s="24"/>
      <c r="BG39" s="24"/>
      <c r="BH39" s="24"/>
      <c r="BI39" s="24"/>
      <c r="BJ39" s="24"/>
      <c r="BK39" s="24"/>
      <c r="BL39" s="23" t="str">
        <f t="shared" si="22"/>
        <v/>
      </c>
      <c r="BM39" s="24"/>
      <c r="BN39" s="24"/>
      <c r="BO39" s="24"/>
      <c r="BP39" s="24"/>
      <c r="BQ39" s="24"/>
      <c r="BR39" s="24"/>
      <c r="BS39" s="24"/>
      <c r="BT39" s="24"/>
      <c r="BU39" s="24"/>
      <c r="BV39" s="24"/>
      <c r="BW39" s="23" t="str">
        <f t="shared" si="23"/>
        <v/>
      </c>
      <c r="BX39" s="24"/>
      <c r="BY39" s="24"/>
      <c r="BZ39" s="24"/>
      <c r="CA39" s="24"/>
      <c r="CB39" s="24"/>
      <c r="CC39" s="24"/>
      <c r="CD39" s="24"/>
      <c r="CE39" s="24"/>
      <c r="CF39" s="24"/>
      <c r="CG39" s="24"/>
      <c r="CH39" s="23" t="str">
        <f t="shared" si="24"/>
        <v/>
      </c>
      <c r="CI39" s="24"/>
      <c r="CJ39" s="24"/>
      <c r="CK39" s="24"/>
      <c r="CL39" s="24"/>
      <c r="CM39" s="24"/>
      <c r="CN39" s="24"/>
      <c r="CO39" s="24"/>
      <c r="CP39" s="24"/>
      <c r="CQ39" s="24"/>
      <c r="CR39" s="24"/>
      <c r="CS39" s="23">
        <f t="shared" si="25"/>
        <v>46261</v>
      </c>
      <c r="CT39" s="24">
        <v>46261</v>
      </c>
      <c r="CU39" s="24"/>
      <c r="CV39" s="24"/>
      <c r="CW39" s="24"/>
      <c r="CX39" s="24"/>
      <c r="CY39" s="24"/>
      <c r="CZ39" s="24"/>
      <c r="DA39" s="24"/>
      <c r="DB39" s="24"/>
      <c r="DC39" s="24"/>
      <c r="DD39" s="23" t="str">
        <f t="shared" si="26"/>
        <v/>
      </c>
      <c r="DE39" s="24"/>
      <c r="DF39" s="24"/>
      <c r="DG39" s="24"/>
      <c r="DH39" s="24"/>
      <c r="DI39" s="24"/>
      <c r="DJ39" s="24"/>
      <c r="DK39" s="24"/>
      <c r="DL39" s="24"/>
      <c r="DM39" s="24"/>
      <c r="DN39" s="24"/>
      <c r="DO39" s="22" t="str">
        <f t="shared" si="27"/>
        <v/>
      </c>
      <c r="DR39" t="s">
        <v>117</v>
      </c>
      <c r="DZ39" s="23" t="str">
        <f t="shared" si="28"/>
        <v/>
      </c>
      <c r="EA39" s="24"/>
      <c r="EB39" s="24"/>
      <c r="EC39" s="24"/>
      <c r="ED39" s="24"/>
      <c r="EE39" s="24"/>
      <c r="EF39" s="24"/>
      <c r="EG39" s="24"/>
      <c r="EH39" s="24"/>
      <c r="EI39" s="24"/>
      <c r="EJ39" s="24"/>
      <c r="EK39" s="23" t="str">
        <f t="shared" si="29"/>
        <v/>
      </c>
      <c r="EL39" s="24"/>
      <c r="EM39" s="24"/>
      <c r="EN39" s="24"/>
      <c r="EO39" s="24"/>
      <c r="EP39" s="24"/>
      <c r="EQ39" s="24"/>
      <c r="ER39" s="24"/>
      <c r="ES39" s="24"/>
      <c r="ET39" s="24"/>
      <c r="EU39" s="24"/>
      <c r="EV39" s="23" t="str">
        <f t="shared" si="30"/>
        <v/>
      </c>
      <c r="EW39" s="24"/>
      <c r="EX39" s="24"/>
      <c r="EY39" s="24"/>
      <c r="EZ39" s="24"/>
      <c r="FA39" s="24"/>
      <c r="FB39" s="24"/>
      <c r="FC39" s="24"/>
      <c r="FD39" s="24"/>
      <c r="FE39" s="24"/>
      <c r="FF39" s="24"/>
      <c r="FG39" s="23" t="str">
        <f t="shared" si="31"/>
        <v/>
      </c>
      <c r="FH39" s="24"/>
      <c r="FI39" s="24"/>
      <c r="FJ39" s="24"/>
      <c r="FK39" s="24"/>
      <c r="FL39" s="24"/>
      <c r="FM39" s="24"/>
      <c r="FN39" s="24"/>
      <c r="FO39" s="24"/>
      <c r="FP39" s="24"/>
      <c r="FQ39" s="24"/>
    </row>
    <row r="40" spans="1:173" x14ac:dyDescent="0.25">
      <c r="A40">
        <v>4146</v>
      </c>
      <c r="B40" t="str">
        <f t="shared" si="16"/>
        <v>TCLU9622997|ONEYAMDG11073400</v>
      </c>
      <c r="C40" s="24">
        <v>46223.625613425924</v>
      </c>
      <c r="E40" t="s">
        <v>555</v>
      </c>
      <c r="F40" t="s">
        <v>421</v>
      </c>
      <c r="G40" t="s">
        <v>556</v>
      </c>
      <c r="H40" t="s">
        <v>557</v>
      </c>
      <c r="I40" s="22" t="str">
        <f t="shared" si="17"/>
        <v/>
      </c>
      <c r="J40" t="s">
        <v>557</v>
      </c>
      <c r="K40" t="s">
        <v>117</v>
      </c>
      <c r="L40" t="s">
        <v>117</v>
      </c>
      <c r="M40" t="s">
        <v>117</v>
      </c>
      <c r="N40" t="s">
        <v>117</v>
      </c>
      <c r="O40" t="s">
        <v>117</v>
      </c>
      <c r="P40" t="s">
        <v>117</v>
      </c>
      <c r="Q40" t="s">
        <v>117</v>
      </c>
      <c r="R40" t="s">
        <v>117</v>
      </c>
      <c r="S40" t="s">
        <v>117</v>
      </c>
      <c r="T40" s="22" t="str">
        <f t="shared" si="18"/>
        <v/>
      </c>
      <c r="U40" t="s">
        <v>558</v>
      </c>
      <c r="V40" t="s">
        <v>117</v>
      </c>
      <c r="X40" t="s">
        <v>117</v>
      </c>
      <c r="Y40" t="s">
        <v>117</v>
      </c>
      <c r="AA40" t="s">
        <v>117</v>
      </c>
      <c r="AB40" t="s">
        <v>117</v>
      </c>
      <c r="AC40" t="s">
        <v>117</v>
      </c>
      <c r="AE40" s="23" t="str">
        <f t="shared" si="19"/>
        <v/>
      </c>
      <c r="AF40" s="24">
        <v>46222</v>
      </c>
      <c r="AG40" s="24"/>
      <c r="AH40" s="24"/>
      <c r="AI40" s="24"/>
      <c r="AJ40" s="24"/>
      <c r="AK40" s="24"/>
      <c r="AL40" s="24"/>
      <c r="AM40" s="24"/>
      <c r="AN40" s="24"/>
      <c r="AO40" s="24"/>
      <c r="AP40" s="23" t="str">
        <f t="shared" si="20"/>
        <v/>
      </c>
      <c r="AQ40" s="24">
        <v>46254</v>
      </c>
      <c r="AR40" s="24"/>
      <c r="AS40" s="24"/>
      <c r="AT40" s="24"/>
      <c r="AU40" s="24"/>
      <c r="AV40" s="24"/>
      <c r="AW40" s="24"/>
      <c r="AX40" s="24"/>
      <c r="AY40" s="24"/>
      <c r="AZ40" s="24"/>
      <c r="BA40" s="23" t="str">
        <f t="shared" si="21"/>
        <v/>
      </c>
      <c r="BB40" s="24"/>
      <c r="BC40" s="24"/>
      <c r="BD40" s="24"/>
      <c r="BE40" s="24"/>
      <c r="BF40" s="24"/>
      <c r="BG40" s="24"/>
      <c r="BH40" s="24"/>
      <c r="BI40" s="24"/>
      <c r="BJ40" s="24"/>
      <c r="BK40" s="24"/>
      <c r="BL40" s="23" t="str">
        <f t="shared" si="22"/>
        <v/>
      </c>
      <c r="BM40" s="24"/>
      <c r="BN40" s="24"/>
      <c r="BO40" s="24"/>
      <c r="BP40" s="24"/>
      <c r="BQ40" s="24"/>
      <c r="BR40" s="24"/>
      <c r="BS40" s="24"/>
      <c r="BT40" s="24"/>
      <c r="BU40" s="24"/>
      <c r="BV40" s="24"/>
      <c r="BW40" s="23" t="str">
        <f t="shared" si="23"/>
        <v/>
      </c>
      <c r="BX40" s="24"/>
      <c r="BY40" s="24"/>
      <c r="BZ40" s="24"/>
      <c r="CA40" s="24"/>
      <c r="CB40" s="24"/>
      <c r="CC40" s="24"/>
      <c r="CD40" s="24"/>
      <c r="CE40" s="24"/>
      <c r="CF40" s="24"/>
      <c r="CG40" s="24"/>
      <c r="CH40" s="23" t="str">
        <f t="shared" si="24"/>
        <v/>
      </c>
      <c r="CI40" s="24"/>
      <c r="CJ40" s="24"/>
      <c r="CK40" s="24"/>
      <c r="CL40" s="24"/>
      <c r="CM40" s="24"/>
      <c r="CN40" s="24"/>
      <c r="CO40" s="24"/>
      <c r="CP40" s="24"/>
      <c r="CQ40" s="24"/>
      <c r="CR40" s="24"/>
      <c r="CS40" s="23">
        <f t="shared" si="25"/>
        <v>46259</v>
      </c>
      <c r="CT40" s="24">
        <v>46259</v>
      </c>
      <c r="CU40" s="24"/>
      <c r="CV40" s="24"/>
      <c r="CW40" s="24"/>
      <c r="CX40" s="24"/>
      <c r="CY40" s="24"/>
      <c r="CZ40" s="24"/>
      <c r="DA40" s="24"/>
      <c r="DB40" s="24"/>
      <c r="DC40" s="24"/>
      <c r="DD40" s="23" t="str">
        <f t="shared" si="26"/>
        <v/>
      </c>
      <c r="DE40" s="24"/>
      <c r="DF40" s="24"/>
      <c r="DG40" s="24"/>
      <c r="DH40" s="24"/>
      <c r="DI40" s="24"/>
      <c r="DJ40" s="24"/>
      <c r="DK40" s="24"/>
      <c r="DL40" s="24"/>
      <c r="DM40" s="24"/>
      <c r="DN40" s="24"/>
      <c r="DO40" s="22" t="str">
        <f t="shared" si="27"/>
        <v/>
      </c>
      <c r="DR40" t="s">
        <v>117</v>
      </c>
      <c r="DZ40" s="23" t="str">
        <f t="shared" si="28"/>
        <v/>
      </c>
      <c r="EA40" s="24"/>
      <c r="EB40" s="24"/>
      <c r="EC40" s="24"/>
      <c r="ED40" s="24"/>
      <c r="EE40" s="24"/>
      <c r="EF40" s="24"/>
      <c r="EG40" s="24"/>
      <c r="EH40" s="24"/>
      <c r="EI40" s="24"/>
      <c r="EJ40" s="24"/>
      <c r="EK40" s="23" t="str">
        <f t="shared" si="29"/>
        <v/>
      </c>
      <c r="EL40" s="24"/>
      <c r="EM40" s="24"/>
      <c r="EN40" s="24"/>
      <c r="EO40" s="24"/>
      <c r="EP40" s="24"/>
      <c r="EQ40" s="24"/>
      <c r="ER40" s="24"/>
      <c r="ES40" s="24"/>
      <c r="ET40" s="24"/>
      <c r="EU40" s="24"/>
      <c r="EV40" s="23" t="str">
        <f t="shared" si="30"/>
        <v/>
      </c>
      <c r="EW40" s="24"/>
      <c r="EX40" s="24"/>
      <c r="EY40" s="24"/>
      <c r="EZ40" s="24"/>
      <c r="FA40" s="24"/>
      <c r="FB40" s="24"/>
      <c r="FC40" s="24"/>
      <c r="FD40" s="24"/>
      <c r="FE40" s="24"/>
      <c r="FF40" s="24"/>
      <c r="FG40" s="23" t="str">
        <f t="shared" si="31"/>
        <v/>
      </c>
      <c r="FH40" s="24"/>
      <c r="FI40" s="24"/>
      <c r="FJ40" s="24"/>
      <c r="FK40" s="24"/>
      <c r="FL40" s="24"/>
      <c r="FM40" s="24"/>
      <c r="FN40" s="24"/>
      <c r="FO40" s="24"/>
      <c r="FP40" s="24"/>
      <c r="FQ40" s="24"/>
    </row>
    <row r="41" spans="1:173" x14ac:dyDescent="0.25">
      <c r="A41">
        <v>4147</v>
      </c>
      <c r="B41" t="str">
        <f t="shared" si="16"/>
        <v>HMMU6385403|HANM53958800</v>
      </c>
      <c r="C41" s="24">
        <v>46224.28266203704</v>
      </c>
      <c r="E41" t="s">
        <v>559</v>
      </c>
      <c r="F41" t="s">
        <v>434</v>
      </c>
      <c r="G41" t="s">
        <v>560</v>
      </c>
      <c r="H41" t="s">
        <v>561</v>
      </c>
      <c r="I41" s="22" t="str">
        <f t="shared" si="17"/>
        <v/>
      </c>
      <c r="K41" t="s">
        <v>117</v>
      </c>
      <c r="L41" t="s">
        <v>117</v>
      </c>
      <c r="M41" t="s">
        <v>117</v>
      </c>
      <c r="N41" t="s">
        <v>117</v>
      </c>
      <c r="O41" t="s">
        <v>117</v>
      </c>
      <c r="P41" t="s">
        <v>117</v>
      </c>
      <c r="Q41" t="s">
        <v>117</v>
      </c>
      <c r="R41" t="s">
        <v>117</v>
      </c>
      <c r="S41" t="s">
        <v>117</v>
      </c>
      <c r="T41" s="22" t="str">
        <f t="shared" si="18"/>
        <v/>
      </c>
      <c r="U41" t="s">
        <v>562</v>
      </c>
      <c r="V41" t="s">
        <v>117</v>
      </c>
      <c r="X41" t="s">
        <v>117</v>
      </c>
      <c r="Y41" t="s">
        <v>117</v>
      </c>
      <c r="AA41" t="s">
        <v>117</v>
      </c>
      <c r="AB41" t="s">
        <v>117</v>
      </c>
      <c r="AC41" t="s">
        <v>117</v>
      </c>
      <c r="AE41" s="23" t="str">
        <f t="shared" si="19"/>
        <v/>
      </c>
      <c r="AF41" s="24">
        <v>46226</v>
      </c>
      <c r="AG41" s="24"/>
      <c r="AH41" s="24"/>
      <c r="AI41" s="24"/>
      <c r="AJ41" s="24"/>
      <c r="AK41" s="24"/>
      <c r="AL41" s="24"/>
      <c r="AM41" s="24"/>
      <c r="AN41" s="24"/>
      <c r="AO41" s="24"/>
      <c r="AP41" s="23" t="str">
        <f t="shared" si="20"/>
        <v/>
      </c>
      <c r="AQ41" s="24">
        <v>46243</v>
      </c>
      <c r="AR41" s="24"/>
      <c r="AS41" s="24"/>
      <c r="AT41" s="24"/>
      <c r="AU41" s="24"/>
      <c r="AV41" s="24"/>
      <c r="AW41" s="24"/>
      <c r="AX41" s="24"/>
      <c r="AY41" s="24"/>
      <c r="AZ41" s="24"/>
      <c r="BA41" s="23" t="str">
        <f t="shared" si="21"/>
        <v/>
      </c>
      <c r="BB41" s="24"/>
      <c r="BC41" s="24"/>
      <c r="BD41" s="24"/>
      <c r="BE41" s="24"/>
      <c r="BF41" s="24"/>
      <c r="BG41" s="24"/>
      <c r="BH41" s="24"/>
      <c r="BI41" s="24"/>
      <c r="BJ41" s="24"/>
      <c r="BK41" s="24"/>
      <c r="BL41" s="23" t="str">
        <f t="shared" si="22"/>
        <v/>
      </c>
      <c r="BM41" s="24"/>
      <c r="BN41" s="24"/>
      <c r="BO41" s="24"/>
      <c r="BP41" s="24"/>
      <c r="BQ41" s="24"/>
      <c r="BR41" s="24"/>
      <c r="BS41" s="24"/>
      <c r="BT41" s="24"/>
      <c r="BU41" s="24"/>
      <c r="BV41" s="24"/>
      <c r="BW41" s="23" t="str">
        <f t="shared" si="23"/>
        <v/>
      </c>
      <c r="BX41" s="24"/>
      <c r="BY41" s="24"/>
      <c r="BZ41" s="24"/>
      <c r="CA41" s="24"/>
      <c r="CB41" s="24"/>
      <c r="CC41" s="24"/>
      <c r="CD41" s="24"/>
      <c r="CE41" s="24"/>
      <c r="CF41" s="24"/>
      <c r="CG41" s="24"/>
      <c r="CH41" s="23" t="str">
        <f t="shared" si="24"/>
        <v/>
      </c>
      <c r="CI41" s="24"/>
      <c r="CJ41" s="24"/>
      <c r="CK41" s="24"/>
      <c r="CL41" s="24"/>
      <c r="CM41" s="24"/>
      <c r="CN41" s="24"/>
      <c r="CO41" s="24"/>
      <c r="CP41" s="24"/>
      <c r="CQ41" s="24"/>
      <c r="CR41" s="24"/>
      <c r="CS41" s="23">
        <f t="shared" si="25"/>
        <v>46248</v>
      </c>
      <c r="CT41" s="24">
        <v>46248</v>
      </c>
      <c r="CU41" s="24"/>
      <c r="CV41" s="24"/>
      <c r="CW41" s="24"/>
      <c r="CX41" s="24"/>
      <c r="CY41" s="24"/>
      <c r="CZ41" s="24"/>
      <c r="DA41" s="24"/>
      <c r="DB41" s="24"/>
      <c r="DC41" s="24"/>
      <c r="DD41" s="23" t="str">
        <f t="shared" si="26"/>
        <v/>
      </c>
      <c r="DE41" s="24"/>
      <c r="DF41" s="24"/>
      <c r="DG41" s="24"/>
      <c r="DH41" s="24"/>
      <c r="DI41" s="24"/>
      <c r="DJ41" s="24"/>
      <c r="DK41" s="24"/>
      <c r="DL41" s="24"/>
      <c r="DM41" s="24"/>
      <c r="DN41" s="24"/>
      <c r="DO41" s="22" t="str">
        <f t="shared" si="27"/>
        <v/>
      </c>
      <c r="DR41" t="s">
        <v>117</v>
      </c>
      <c r="DZ41" s="23" t="str">
        <f t="shared" si="28"/>
        <v/>
      </c>
      <c r="EA41" s="24"/>
      <c r="EB41" s="24"/>
      <c r="EC41" s="24"/>
      <c r="ED41" s="24"/>
      <c r="EE41" s="24"/>
      <c r="EF41" s="24"/>
      <c r="EG41" s="24"/>
      <c r="EH41" s="24"/>
      <c r="EI41" s="24"/>
      <c r="EJ41" s="24"/>
      <c r="EK41" s="23" t="str">
        <f t="shared" si="29"/>
        <v/>
      </c>
      <c r="EL41" s="24"/>
      <c r="EM41" s="24"/>
      <c r="EN41" s="24"/>
      <c r="EO41" s="24"/>
      <c r="EP41" s="24"/>
      <c r="EQ41" s="24"/>
      <c r="ER41" s="24"/>
      <c r="ES41" s="24"/>
      <c r="ET41" s="24"/>
      <c r="EU41" s="24"/>
      <c r="EV41" s="23" t="str">
        <f t="shared" si="30"/>
        <v/>
      </c>
      <c r="EW41" s="24"/>
      <c r="EX41" s="24"/>
      <c r="EY41" s="24"/>
      <c r="EZ41" s="24"/>
      <c r="FA41" s="24"/>
      <c r="FB41" s="24"/>
      <c r="FC41" s="24"/>
      <c r="FD41" s="24"/>
      <c r="FE41" s="24"/>
      <c r="FF41" s="24"/>
      <c r="FG41" s="23" t="str">
        <f t="shared" si="31"/>
        <v/>
      </c>
      <c r="FH41" s="24"/>
      <c r="FI41" s="24"/>
      <c r="FJ41" s="24"/>
      <c r="FK41" s="24"/>
      <c r="FL41" s="24"/>
      <c r="FM41" s="24"/>
      <c r="FN41" s="24"/>
      <c r="FO41" s="24"/>
      <c r="FP41" s="24"/>
      <c r="FQ41" s="24"/>
    </row>
    <row r="42" spans="1:173" x14ac:dyDescent="0.25">
      <c r="A42">
        <v>4148</v>
      </c>
      <c r="B42" t="str">
        <f t="shared" si="16"/>
        <v>HMMU4595801|HANM60834500</v>
      </c>
      <c r="C42" s="24">
        <v>46224.352789351855</v>
      </c>
      <c r="E42" t="s">
        <v>563</v>
      </c>
      <c r="F42" t="s">
        <v>434</v>
      </c>
      <c r="G42" t="s">
        <v>564</v>
      </c>
      <c r="H42" t="s">
        <v>565</v>
      </c>
      <c r="I42" s="22" t="str">
        <f t="shared" si="17"/>
        <v/>
      </c>
      <c r="K42" t="s">
        <v>117</v>
      </c>
      <c r="L42" t="s">
        <v>117</v>
      </c>
      <c r="M42" t="s">
        <v>117</v>
      </c>
      <c r="N42" t="s">
        <v>117</v>
      </c>
      <c r="O42" t="s">
        <v>117</v>
      </c>
      <c r="P42" t="s">
        <v>117</v>
      </c>
      <c r="Q42" t="s">
        <v>117</v>
      </c>
      <c r="R42" t="s">
        <v>117</v>
      </c>
      <c r="S42" t="s">
        <v>117</v>
      </c>
      <c r="T42" s="22" t="str">
        <f t="shared" si="18"/>
        <v/>
      </c>
      <c r="U42" t="s">
        <v>562</v>
      </c>
      <c r="V42" t="s">
        <v>117</v>
      </c>
      <c r="X42" t="s">
        <v>117</v>
      </c>
      <c r="Y42" t="s">
        <v>117</v>
      </c>
      <c r="AA42" t="s">
        <v>117</v>
      </c>
      <c r="AB42" t="s">
        <v>117</v>
      </c>
      <c r="AC42" t="s">
        <v>117</v>
      </c>
      <c r="AE42" s="23" t="str">
        <f t="shared" si="19"/>
        <v/>
      </c>
      <c r="AF42" s="24">
        <v>46228</v>
      </c>
      <c r="AG42" s="24"/>
      <c r="AH42" s="24"/>
      <c r="AI42" s="24"/>
      <c r="AJ42" s="24"/>
      <c r="AK42" s="24"/>
      <c r="AL42" s="24"/>
      <c r="AM42" s="24"/>
      <c r="AN42" s="24"/>
      <c r="AO42" s="24"/>
      <c r="AP42" s="23" t="str">
        <f t="shared" si="20"/>
        <v/>
      </c>
      <c r="AQ42" s="24">
        <v>46245</v>
      </c>
      <c r="AR42" s="24"/>
      <c r="AS42" s="24"/>
      <c r="AT42" s="24"/>
      <c r="AU42" s="24"/>
      <c r="AV42" s="24"/>
      <c r="AW42" s="24"/>
      <c r="AX42" s="24"/>
      <c r="AY42" s="24"/>
      <c r="AZ42" s="24"/>
      <c r="BA42" s="23" t="str">
        <f t="shared" si="21"/>
        <v/>
      </c>
      <c r="BB42" s="24"/>
      <c r="BC42" s="24"/>
      <c r="BD42" s="24"/>
      <c r="BE42" s="24"/>
      <c r="BF42" s="24"/>
      <c r="BG42" s="24"/>
      <c r="BH42" s="24"/>
      <c r="BI42" s="24"/>
      <c r="BJ42" s="24"/>
      <c r="BK42" s="24"/>
      <c r="BL42" s="23" t="str">
        <f t="shared" si="22"/>
        <v/>
      </c>
      <c r="BM42" s="24"/>
      <c r="BN42" s="24"/>
      <c r="BO42" s="24"/>
      <c r="BP42" s="24"/>
      <c r="BQ42" s="24"/>
      <c r="BR42" s="24"/>
      <c r="BS42" s="24"/>
      <c r="BT42" s="24"/>
      <c r="BU42" s="24"/>
      <c r="BV42" s="24"/>
      <c r="BW42" s="23" t="str">
        <f t="shared" si="23"/>
        <v/>
      </c>
      <c r="BX42" s="24"/>
      <c r="BY42" s="24"/>
      <c r="BZ42" s="24"/>
      <c r="CA42" s="24"/>
      <c r="CB42" s="24"/>
      <c r="CC42" s="24"/>
      <c r="CD42" s="24"/>
      <c r="CE42" s="24"/>
      <c r="CF42" s="24"/>
      <c r="CG42" s="24"/>
      <c r="CH42" s="23" t="str">
        <f t="shared" si="24"/>
        <v/>
      </c>
      <c r="CI42" s="24"/>
      <c r="CJ42" s="24"/>
      <c r="CK42" s="24"/>
      <c r="CL42" s="24"/>
      <c r="CM42" s="24"/>
      <c r="CN42" s="24"/>
      <c r="CO42" s="24"/>
      <c r="CP42" s="24"/>
      <c r="CQ42" s="24"/>
      <c r="CR42" s="24"/>
      <c r="CS42" s="23">
        <f t="shared" si="25"/>
        <v>46250</v>
      </c>
      <c r="CT42" s="24">
        <v>46250</v>
      </c>
      <c r="CU42" s="24"/>
      <c r="CV42" s="24"/>
      <c r="CW42" s="24"/>
      <c r="CX42" s="24"/>
      <c r="CY42" s="24"/>
      <c r="CZ42" s="24"/>
      <c r="DA42" s="24"/>
      <c r="DB42" s="24"/>
      <c r="DC42" s="24"/>
      <c r="DD42" s="23" t="str">
        <f t="shared" si="26"/>
        <v/>
      </c>
      <c r="DE42" s="24"/>
      <c r="DF42" s="24"/>
      <c r="DG42" s="24"/>
      <c r="DH42" s="24"/>
      <c r="DI42" s="24"/>
      <c r="DJ42" s="24"/>
      <c r="DK42" s="24"/>
      <c r="DL42" s="24"/>
      <c r="DM42" s="24"/>
      <c r="DN42" s="24"/>
      <c r="DO42" s="22" t="str">
        <f t="shared" si="27"/>
        <v/>
      </c>
      <c r="DR42" t="s">
        <v>117</v>
      </c>
      <c r="DZ42" s="23" t="str">
        <f t="shared" si="28"/>
        <v/>
      </c>
      <c r="EA42" s="24"/>
      <c r="EB42" s="24"/>
      <c r="EC42" s="24"/>
      <c r="ED42" s="24"/>
      <c r="EE42" s="24"/>
      <c r="EF42" s="24"/>
      <c r="EG42" s="24"/>
      <c r="EH42" s="24"/>
      <c r="EI42" s="24"/>
      <c r="EJ42" s="24"/>
      <c r="EK42" s="23" t="str">
        <f t="shared" si="29"/>
        <v/>
      </c>
      <c r="EL42" s="24"/>
      <c r="EM42" s="24"/>
      <c r="EN42" s="24"/>
      <c r="EO42" s="24"/>
      <c r="EP42" s="24"/>
      <c r="EQ42" s="24"/>
      <c r="ER42" s="24"/>
      <c r="ES42" s="24"/>
      <c r="ET42" s="24"/>
      <c r="EU42" s="24"/>
      <c r="EV42" s="23" t="str">
        <f t="shared" si="30"/>
        <v/>
      </c>
      <c r="EW42" s="24"/>
      <c r="EX42" s="24"/>
      <c r="EY42" s="24"/>
      <c r="EZ42" s="24"/>
      <c r="FA42" s="24"/>
      <c r="FB42" s="24"/>
      <c r="FC42" s="24"/>
      <c r="FD42" s="24"/>
      <c r="FE42" s="24"/>
      <c r="FF42" s="24"/>
      <c r="FG42" s="23" t="str">
        <f t="shared" si="31"/>
        <v/>
      </c>
      <c r="FH42" s="24"/>
      <c r="FI42" s="24"/>
      <c r="FJ42" s="24"/>
      <c r="FK42" s="24"/>
      <c r="FL42" s="24"/>
      <c r="FM42" s="24"/>
      <c r="FN42" s="24"/>
      <c r="FO42" s="24"/>
      <c r="FP42" s="24"/>
      <c r="FQ42" s="24"/>
    </row>
    <row r="43" spans="1:173" x14ac:dyDescent="0.25">
      <c r="A43">
        <v>4149</v>
      </c>
      <c r="B43" t="str">
        <f t="shared" si="16"/>
        <v>WHSU5250420|WHLC067GX16166</v>
      </c>
      <c r="C43" s="24">
        <v>46224.35292824074</v>
      </c>
      <c r="E43" t="s">
        <v>566</v>
      </c>
      <c r="F43" t="s">
        <v>434</v>
      </c>
      <c r="G43" t="s">
        <v>567</v>
      </c>
      <c r="H43" t="s">
        <v>568</v>
      </c>
      <c r="I43" s="22" t="str">
        <f t="shared" si="17"/>
        <v/>
      </c>
      <c r="J43" t="s">
        <v>568</v>
      </c>
      <c r="K43" t="s">
        <v>117</v>
      </c>
      <c r="L43" t="s">
        <v>117</v>
      </c>
      <c r="M43" t="s">
        <v>117</v>
      </c>
      <c r="N43" t="s">
        <v>117</v>
      </c>
      <c r="O43" t="s">
        <v>117</v>
      </c>
      <c r="P43" t="s">
        <v>117</v>
      </c>
      <c r="Q43" t="s">
        <v>117</v>
      </c>
      <c r="R43" t="s">
        <v>117</v>
      </c>
      <c r="S43" t="s">
        <v>117</v>
      </c>
      <c r="T43" s="22" t="str">
        <f t="shared" si="18"/>
        <v/>
      </c>
      <c r="U43" t="s">
        <v>569</v>
      </c>
      <c r="V43" t="s">
        <v>117</v>
      </c>
      <c r="X43" t="s">
        <v>117</v>
      </c>
      <c r="Y43" t="s">
        <v>117</v>
      </c>
      <c r="AA43" t="s">
        <v>117</v>
      </c>
      <c r="AB43" t="s">
        <v>117</v>
      </c>
      <c r="AC43" t="s">
        <v>117</v>
      </c>
      <c r="AE43" s="23" t="str">
        <f t="shared" si="19"/>
        <v/>
      </c>
      <c r="AF43" s="24">
        <v>46226</v>
      </c>
      <c r="AG43" s="24"/>
      <c r="AH43" s="24"/>
      <c r="AI43" s="24"/>
      <c r="AJ43" s="24"/>
      <c r="AK43" s="24"/>
      <c r="AL43" s="24"/>
      <c r="AM43" s="24"/>
      <c r="AN43" s="24"/>
      <c r="AO43" s="24"/>
      <c r="AP43" s="23" t="str">
        <f t="shared" si="20"/>
        <v/>
      </c>
      <c r="AQ43" s="24">
        <v>46258</v>
      </c>
      <c r="AR43" s="24"/>
      <c r="AS43" s="24"/>
      <c r="AT43" s="24"/>
      <c r="AU43" s="24"/>
      <c r="AV43" s="24"/>
      <c r="AW43" s="24"/>
      <c r="AX43" s="24"/>
      <c r="AY43" s="24"/>
      <c r="AZ43" s="24"/>
      <c r="BA43" s="23" t="str">
        <f t="shared" si="21"/>
        <v/>
      </c>
      <c r="BB43" s="24"/>
      <c r="BC43" s="24"/>
      <c r="BD43" s="24"/>
      <c r="BE43" s="24"/>
      <c r="BF43" s="24"/>
      <c r="BG43" s="24"/>
      <c r="BH43" s="24"/>
      <c r="BI43" s="24"/>
      <c r="BJ43" s="24"/>
      <c r="BK43" s="24"/>
      <c r="BL43" s="23" t="str">
        <f t="shared" si="22"/>
        <v/>
      </c>
      <c r="BM43" s="24"/>
      <c r="BN43" s="24"/>
      <c r="BO43" s="24"/>
      <c r="BP43" s="24"/>
      <c r="BQ43" s="24"/>
      <c r="BR43" s="24"/>
      <c r="BS43" s="24"/>
      <c r="BT43" s="24"/>
      <c r="BU43" s="24"/>
      <c r="BV43" s="24"/>
      <c r="BW43" s="23" t="str">
        <f t="shared" si="23"/>
        <v/>
      </c>
      <c r="BX43" s="24"/>
      <c r="BY43" s="24"/>
      <c r="BZ43" s="24"/>
      <c r="CA43" s="24"/>
      <c r="CB43" s="24"/>
      <c r="CC43" s="24"/>
      <c r="CD43" s="24"/>
      <c r="CE43" s="24"/>
      <c r="CF43" s="24"/>
      <c r="CG43" s="24"/>
      <c r="CH43" s="23" t="str">
        <f t="shared" si="24"/>
        <v/>
      </c>
      <c r="CI43" s="24"/>
      <c r="CJ43" s="24"/>
      <c r="CK43" s="24"/>
      <c r="CL43" s="24"/>
      <c r="CM43" s="24"/>
      <c r="CN43" s="24"/>
      <c r="CO43" s="24"/>
      <c r="CP43" s="24"/>
      <c r="CQ43" s="24"/>
      <c r="CR43" s="24"/>
      <c r="CS43" s="23">
        <f t="shared" si="25"/>
        <v>46261</v>
      </c>
      <c r="CT43" s="24">
        <v>46261</v>
      </c>
      <c r="CU43" s="24"/>
      <c r="CV43" s="24"/>
      <c r="CW43" s="24"/>
      <c r="CX43" s="24"/>
      <c r="CY43" s="24"/>
      <c r="CZ43" s="24"/>
      <c r="DA43" s="24"/>
      <c r="DB43" s="24"/>
      <c r="DC43" s="24"/>
      <c r="DD43" s="23" t="str">
        <f t="shared" si="26"/>
        <v/>
      </c>
      <c r="DE43" s="24"/>
      <c r="DF43" s="24"/>
      <c r="DG43" s="24"/>
      <c r="DH43" s="24"/>
      <c r="DI43" s="24"/>
      <c r="DJ43" s="24"/>
      <c r="DK43" s="24"/>
      <c r="DL43" s="24"/>
      <c r="DM43" s="24"/>
      <c r="DN43" s="24"/>
      <c r="DO43" s="22" t="str">
        <f t="shared" si="27"/>
        <v/>
      </c>
      <c r="DR43" t="s">
        <v>117</v>
      </c>
      <c r="DZ43" s="23" t="str">
        <f t="shared" si="28"/>
        <v/>
      </c>
      <c r="EA43" s="24"/>
      <c r="EB43" s="24"/>
      <c r="EC43" s="24"/>
      <c r="ED43" s="24"/>
      <c r="EE43" s="24"/>
      <c r="EF43" s="24"/>
      <c r="EG43" s="24"/>
      <c r="EH43" s="24"/>
      <c r="EI43" s="24"/>
      <c r="EJ43" s="24"/>
      <c r="EK43" s="23" t="str">
        <f t="shared" si="29"/>
        <v/>
      </c>
      <c r="EL43" s="24"/>
      <c r="EM43" s="24"/>
      <c r="EN43" s="24"/>
      <c r="EO43" s="24"/>
      <c r="EP43" s="24"/>
      <c r="EQ43" s="24"/>
      <c r="ER43" s="24"/>
      <c r="ES43" s="24"/>
      <c r="ET43" s="24"/>
      <c r="EU43" s="24"/>
      <c r="EV43" s="23" t="str">
        <f t="shared" si="30"/>
        <v/>
      </c>
      <c r="EW43" s="24"/>
      <c r="EX43" s="24"/>
      <c r="EY43" s="24"/>
      <c r="EZ43" s="24"/>
      <c r="FA43" s="24"/>
      <c r="FB43" s="24"/>
      <c r="FC43" s="24"/>
      <c r="FD43" s="24"/>
      <c r="FE43" s="24"/>
      <c r="FF43" s="24"/>
      <c r="FG43" s="23" t="str">
        <f t="shared" si="31"/>
        <v/>
      </c>
      <c r="FH43" s="24"/>
      <c r="FI43" s="24"/>
      <c r="FJ43" s="24"/>
      <c r="FK43" s="24"/>
      <c r="FL43" s="24"/>
      <c r="FM43" s="24"/>
      <c r="FN43" s="24"/>
      <c r="FO43" s="24"/>
      <c r="FP43" s="24"/>
      <c r="FQ43" s="24"/>
    </row>
    <row r="44" spans="1:173" x14ac:dyDescent="0.25">
      <c r="A44">
        <v>4150</v>
      </c>
      <c r="B44" t="str">
        <f t="shared" si="16"/>
        <v>HPCU4754895|WHLC100GX11558</v>
      </c>
      <c r="C44" s="24">
        <v>46224.358020833337</v>
      </c>
      <c r="E44" t="s">
        <v>570</v>
      </c>
      <c r="F44" t="s">
        <v>434</v>
      </c>
      <c r="G44" t="s">
        <v>571</v>
      </c>
      <c r="H44" t="s">
        <v>572</v>
      </c>
      <c r="I44" s="22" t="str">
        <f t="shared" si="17"/>
        <v/>
      </c>
      <c r="J44" t="s">
        <v>572</v>
      </c>
      <c r="K44" t="s">
        <v>572</v>
      </c>
      <c r="L44" t="s">
        <v>117</v>
      </c>
      <c r="M44" t="s">
        <v>117</v>
      </c>
      <c r="N44" t="s">
        <v>572</v>
      </c>
      <c r="O44" t="s">
        <v>117</v>
      </c>
      <c r="P44" t="s">
        <v>117</v>
      </c>
      <c r="Q44" t="s">
        <v>117</v>
      </c>
      <c r="R44" t="s">
        <v>572</v>
      </c>
      <c r="S44" t="s">
        <v>117</v>
      </c>
      <c r="T44" s="22" t="str">
        <f t="shared" si="18"/>
        <v/>
      </c>
      <c r="U44" t="s">
        <v>513</v>
      </c>
      <c r="V44" t="s">
        <v>513</v>
      </c>
      <c r="X44" t="s">
        <v>117</v>
      </c>
      <c r="Y44" t="s">
        <v>513</v>
      </c>
      <c r="AA44" t="s">
        <v>117</v>
      </c>
      <c r="AB44" t="s">
        <v>117</v>
      </c>
      <c r="AC44" t="s">
        <v>513</v>
      </c>
      <c r="AE44" s="23" t="str">
        <f t="shared" si="19"/>
        <v/>
      </c>
      <c r="AF44" s="24">
        <v>46223</v>
      </c>
      <c r="AG44" s="24">
        <v>46223</v>
      </c>
      <c r="AH44" s="24"/>
      <c r="AI44" s="24"/>
      <c r="AJ44" s="24">
        <v>46223.831944444442</v>
      </c>
      <c r="AK44" s="24"/>
      <c r="AL44" s="24"/>
      <c r="AM44" s="24"/>
      <c r="AN44" s="24">
        <v>46223</v>
      </c>
      <c r="AO44" s="24"/>
      <c r="AP44" s="23" t="str">
        <f t="shared" si="20"/>
        <v/>
      </c>
      <c r="AQ44" s="24">
        <v>46249</v>
      </c>
      <c r="AR44" s="24">
        <v>46249</v>
      </c>
      <c r="AS44" s="24"/>
      <c r="AT44" s="24"/>
      <c r="AU44" s="24">
        <v>46249.5625</v>
      </c>
      <c r="AV44" s="24"/>
      <c r="AW44" s="24"/>
      <c r="AX44" s="24"/>
      <c r="AY44" s="24">
        <v>46248</v>
      </c>
      <c r="AZ44" s="24"/>
      <c r="BA44" s="23" t="str">
        <f t="shared" si="21"/>
        <v/>
      </c>
      <c r="BB44" s="24"/>
      <c r="BC44" s="24"/>
      <c r="BD44" s="24"/>
      <c r="BE44" s="24"/>
      <c r="BF44" s="24"/>
      <c r="BG44" s="24"/>
      <c r="BH44" s="24"/>
      <c r="BI44" s="24"/>
      <c r="BJ44" s="24"/>
      <c r="BK44" s="24"/>
      <c r="BL44" s="23" t="str">
        <f t="shared" si="22"/>
        <v/>
      </c>
      <c r="BM44" s="24">
        <v>46249</v>
      </c>
      <c r="BN44" s="24">
        <v>46249</v>
      </c>
      <c r="BO44" s="24"/>
      <c r="BP44" s="24"/>
      <c r="BQ44" s="24"/>
      <c r="BR44" s="24"/>
      <c r="BS44" s="24"/>
      <c r="BT44" s="24"/>
      <c r="BU44" s="24">
        <v>46248</v>
      </c>
      <c r="BV44" s="24"/>
      <c r="BW44" s="23" t="str">
        <f t="shared" si="23"/>
        <v/>
      </c>
      <c r="BX44" s="24"/>
      <c r="BY44" s="24"/>
      <c r="BZ44" s="24"/>
      <c r="CA44" s="24"/>
      <c r="CB44" s="24"/>
      <c r="CC44" s="24"/>
      <c r="CD44" s="24"/>
      <c r="CE44" s="24"/>
      <c r="CF44" s="24"/>
      <c r="CG44" s="24"/>
      <c r="CH44" s="23" t="str">
        <f t="shared" si="24"/>
        <v/>
      </c>
      <c r="CI44" s="24"/>
      <c r="CJ44" s="24"/>
      <c r="CK44" s="24"/>
      <c r="CL44" s="24"/>
      <c r="CM44" s="24"/>
      <c r="CN44" s="24"/>
      <c r="CO44" s="24"/>
      <c r="CP44" s="24"/>
      <c r="CQ44" s="24"/>
      <c r="CR44" s="24"/>
      <c r="CS44" s="23">
        <f t="shared" si="25"/>
        <v>46254</v>
      </c>
      <c r="CT44" s="24">
        <v>46254</v>
      </c>
      <c r="CU44" s="24">
        <v>46254</v>
      </c>
      <c r="CV44" s="24"/>
      <c r="CW44" s="24"/>
      <c r="CX44" s="24"/>
      <c r="CY44" s="24"/>
      <c r="CZ44" s="24"/>
      <c r="DA44" s="24"/>
      <c r="DB44" s="24"/>
      <c r="DC44" s="24"/>
      <c r="DD44" s="23" t="str">
        <f t="shared" si="26"/>
        <v/>
      </c>
      <c r="DE44" s="24"/>
      <c r="DF44" s="24"/>
      <c r="DG44" s="24"/>
      <c r="DH44" s="24"/>
      <c r="DI44" s="24"/>
      <c r="DJ44" s="24"/>
      <c r="DK44" s="24"/>
      <c r="DL44" s="24"/>
      <c r="DM44" s="24"/>
      <c r="DN44" s="24"/>
      <c r="DO44" s="22" t="str">
        <f t="shared" si="27"/>
        <v/>
      </c>
      <c r="DR44" t="s">
        <v>117</v>
      </c>
      <c r="DZ44" s="23" t="str">
        <f t="shared" si="28"/>
        <v/>
      </c>
      <c r="EA44" s="24"/>
      <c r="EB44" s="24"/>
      <c r="EC44" s="24"/>
      <c r="ED44" s="24"/>
      <c r="EE44" s="24"/>
      <c r="EF44" s="24"/>
      <c r="EG44" s="24"/>
      <c r="EH44" s="24"/>
      <c r="EI44" s="24"/>
      <c r="EJ44" s="24"/>
      <c r="EK44" s="23" t="str">
        <f t="shared" si="29"/>
        <v/>
      </c>
      <c r="EL44" s="24"/>
      <c r="EM44" s="24"/>
      <c r="EN44" s="24"/>
      <c r="EO44" s="24"/>
      <c r="EP44" s="24"/>
      <c r="EQ44" s="24"/>
      <c r="ER44" s="24"/>
      <c r="ES44" s="24"/>
      <c r="ET44" s="24"/>
      <c r="EU44" s="24"/>
      <c r="EV44" s="23" t="str">
        <f t="shared" si="30"/>
        <v/>
      </c>
      <c r="EW44" s="24"/>
      <c r="EX44" s="24"/>
      <c r="EY44" s="24"/>
      <c r="EZ44" s="24"/>
      <c r="FA44" s="24"/>
      <c r="FB44" s="24"/>
      <c r="FC44" s="24"/>
      <c r="FD44" s="24"/>
      <c r="FE44" s="24"/>
      <c r="FF44" s="24"/>
      <c r="FG44" s="23" t="str">
        <f t="shared" si="31"/>
        <v/>
      </c>
      <c r="FH44" s="24"/>
      <c r="FI44" s="24"/>
      <c r="FJ44" s="24"/>
      <c r="FK44" s="24"/>
      <c r="FL44" s="24"/>
      <c r="FM44" s="24"/>
      <c r="FN44" s="24"/>
      <c r="FO44" s="24"/>
      <c r="FP44" s="24"/>
      <c r="FQ44" s="24"/>
    </row>
    <row r="45" spans="1:173" x14ac:dyDescent="0.25">
      <c r="A45">
        <v>4151</v>
      </c>
      <c r="B45" t="str">
        <f t="shared" si="16"/>
        <v>WHSU8739499|WHLC100GX11558</v>
      </c>
      <c r="C45" s="24">
        <v>46224.361446759256</v>
      </c>
      <c r="E45" t="s">
        <v>573</v>
      </c>
      <c r="F45" t="s">
        <v>434</v>
      </c>
      <c r="G45" t="s">
        <v>574</v>
      </c>
      <c r="H45" t="s">
        <v>572</v>
      </c>
      <c r="I45" s="22" t="str">
        <f t="shared" si="17"/>
        <v/>
      </c>
      <c r="J45" t="s">
        <v>572</v>
      </c>
      <c r="K45" t="s">
        <v>572</v>
      </c>
      <c r="L45" t="s">
        <v>117</v>
      </c>
      <c r="M45" t="s">
        <v>117</v>
      </c>
      <c r="N45" t="s">
        <v>572</v>
      </c>
      <c r="O45" t="s">
        <v>117</v>
      </c>
      <c r="P45" t="s">
        <v>117</v>
      </c>
      <c r="Q45" t="s">
        <v>117</v>
      </c>
      <c r="R45" t="s">
        <v>572</v>
      </c>
      <c r="S45" t="s">
        <v>117</v>
      </c>
      <c r="T45" s="22" t="str">
        <f t="shared" si="18"/>
        <v/>
      </c>
      <c r="U45" t="s">
        <v>513</v>
      </c>
      <c r="V45" t="s">
        <v>513</v>
      </c>
      <c r="X45" t="s">
        <v>117</v>
      </c>
      <c r="Y45" t="s">
        <v>513</v>
      </c>
      <c r="AA45" t="s">
        <v>117</v>
      </c>
      <c r="AB45" t="s">
        <v>117</v>
      </c>
      <c r="AC45" t="s">
        <v>513</v>
      </c>
      <c r="AE45" s="23" t="str">
        <f t="shared" si="19"/>
        <v/>
      </c>
      <c r="AF45" s="24">
        <v>46223</v>
      </c>
      <c r="AG45" s="24">
        <v>46223</v>
      </c>
      <c r="AH45" s="24"/>
      <c r="AI45" s="24"/>
      <c r="AJ45" s="24">
        <v>46223.831944444442</v>
      </c>
      <c r="AK45" s="24"/>
      <c r="AL45" s="24"/>
      <c r="AM45" s="24"/>
      <c r="AN45" s="24">
        <v>46223</v>
      </c>
      <c r="AO45" s="24"/>
      <c r="AP45" s="23" t="str">
        <f t="shared" si="20"/>
        <v/>
      </c>
      <c r="AQ45" s="24">
        <v>46249</v>
      </c>
      <c r="AR45" s="24">
        <v>46249</v>
      </c>
      <c r="AS45" s="24"/>
      <c r="AT45" s="24"/>
      <c r="AU45" s="24">
        <v>46249.5625</v>
      </c>
      <c r="AV45" s="24"/>
      <c r="AW45" s="24"/>
      <c r="AX45" s="24"/>
      <c r="AY45" s="24">
        <v>46248</v>
      </c>
      <c r="AZ45" s="24"/>
      <c r="BA45" s="23" t="str">
        <f t="shared" si="21"/>
        <v/>
      </c>
      <c r="BB45" s="24"/>
      <c r="BC45" s="24"/>
      <c r="BD45" s="24"/>
      <c r="BE45" s="24"/>
      <c r="BF45" s="24"/>
      <c r="BG45" s="24"/>
      <c r="BH45" s="24"/>
      <c r="BI45" s="24"/>
      <c r="BJ45" s="24"/>
      <c r="BK45" s="24"/>
      <c r="BL45" s="23" t="str">
        <f t="shared" si="22"/>
        <v/>
      </c>
      <c r="BM45" s="24">
        <v>46249</v>
      </c>
      <c r="BN45" s="24">
        <v>46249</v>
      </c>
      <c r="BO45" s="24"/>
      <c r="BP45" s="24"/>
      <c r="BQ45" s="24"/>
      <c r="BR45" s="24"/>
      <c r="BS45" s="24"/>
      <c r="BT45" s="24"/>
      <c r="BU45" s="24">
        <v>46248</v>
      </c>
      <c r="BV45" s="24"/>
      <c r="BW45" s="23" t="str">
        <f t="shared" si="23"/>
        <v/>
      </c>
      <c r="BX45" s="24"/>
      <c r="BY45" s="24"/>
      <c r="BZ45" s="24"/>
      <c r="CA45" s="24"/>
      <c r="CB45" s="24"/>
      <c r="CC45" s="24"/>
      <c r="CD45" s="24"/>
      <c r="CE45" s="24"/>
      <c r="CF45" s="24"/>
      <c r="CG45" s="24"/>
      <c r="CH45" s="23" t="str">
        <f t="shared" si="24"/>
        <v/>
      </c>
      <c r="CI45" s="24"/>
      <c r="CJ45" s="24"/>
      <c r="CK45" s="24"/>
      <c r="CL45" s="24"/>
      <c r="CM45" s="24"/>
      <c r="CN45" s="24"/>
      <c r="CO45" s="24"/>
      <c r="CP45" s="24"/>
      <c r="CQ45" s="24"/>
      <c r="CR45" s="24"/>
      <c r="CS45" s="23">
        <f t="shared" si="25"/>
        <v>46254</v>
      </c>
      <c r="CT45" s="24">
        <v>46254</v>
      </c>
      <c r="CU45" s="24">
        <v>46254</v>
      </c>
      <c r="CV45" s="24"/>
      <c r="CW45" s="24"/>
      <c r="CX45" s="24"/>
      <c r="CY45" s="24"/>
      <c r="CZ45" s="24"/>
      <c r="DA45" s="24"/>
      <c r="DB45" s="24"/>
      <c r="DC45" s="24"/>
      <c r="DD45" s="23" t="str">
        <f t="shared" si="26"/>
        <v/>
      </c>
      <c r="DE45" s="24"/>
      <c r="DF45" s="24"/>
      <c r="DG45" s="24"/>
      <c r="DH45" s="24"/>
      <c r="DI45" s="24"/>
      <c r="DJ45" s="24"/>
      <c r="DK45" s="24"/>
      <c r="DL45" s="24"/>
      <c r="DM45" s="24"/>
      <c r="DN45" s="24"/>
      <c r="DO45" s="22" t="str">
        <f t="shared" si="27"/>
        <v/>
      </c>
      <c r="DR45" t="s">
        <v>117</v>
      </c>
      <c r="DZ45" s="23" t="str">
        <f t="shared" si="28"/>
        <v/>
      </c>
      <c r="EA45" s="24"/>
      <c r="EB45" s="24"/>
      <c r="EC45" s="24"/>
      <c r="ED45" s="24"/>
      <c r="EE45" s="24"/>
      <c r="EF45" s="24"/>
      <c r="EG45" s="24"/>
      <c r="EH45" s="24"/>
      <c r="EI45" s="24"/>
      <c r="EJ45" s="24"/>
      <c r="EK45" s="23" t="str">
        <f t="shared" si="29"/>
        <v/>
      </c>
      <c r="EL45" s="24"/>
      <c r="EM45" s="24"/>
      <c r="EN45" s="24"/>
      <c r="EO45" s="24"/>
      <c r="EP45" s="24"/>
      <c r="EQ45" s="24"/>
      <c r="ER45" s="24"/>
      <c r="ES45" s="24"/>
      <c r="ET45" s="24"/>
      <c r="EU45" s="24"/>
      <c r="EV45" s="23" t="str">
        <f t="shared" si="30"/>
        <v/>
      </c>
      <c r="EW45" s="24"/>
      <c r="EX45" s="24"/>
      <c r="EY45" s="24"/>
      <c r="EZ45" s="24"/>
      <c r="FA45" s="24"/>
      <c r="FB45" s="24"/>
      <c r="FC45" s="24"/>
      <c r="FD45" s="24"/>
      <c r="FE45" s="24"/>
      <c r="FF45" s="24"/>
      <c r="FG45" s="23" t="str">
        <f t="shared" si="31"/>
        <v/>
      </c>
      <c r="FH45" s="24"/>
      <c r="FI45" s="24"/>
      <c r="FJ45" s="24"/>
      <c r="FK45" s="24"/>
      <c r="FL45" s="24"/>
      <c r="FM45" s="24"/>
      <c r="FN45" s="24"/>
      <c r="FO45" s="24"/>
      <c r="FP45" s="24"/>
      <c r="FQ45" s="24"/>
    </row>
    <row r="46" spans="1:173" x14ac:dyDescent="0.25">
      <c r="A46">
        <v>4152</v>
      </c>
      <c r="B46" t="str">
        <f t="shared" si="16"/>
        <v>WHSU6911119|HDMU067GX16116</v>
      </c>
      <c r="C46" s="24">
        <v>46224.362997685188</v>
      </c>
      <c r="E46" t="s">
        <v>575</v>
      </c>
      <c r="F46" t="s">
        <v>434</v>
      </c>
      <c r="G46" t="s">
        <v>576</v>
      </c>
      <c r="H46" t="s">
        <v>577</v>
      </c>
      <c r="I46" s="22" t="str">
        <f t="shared" si="17"/>
        <v/>
      </c>
      <c r="J46" t="s">
        <v>577</v>
      </c>
      <c r="K46" t="s">
        <v>117</v>
      </c>
      <c r="L46" t="s">
        <v>117</v>
      </c>
      <c r="M46" t="s">
        <v>117</v>
      </c>
      <c r="N46" t="s">
        <v>117</v>
      </c>
      <c r="O46" t="s">
        <v>117</v>
      </c>
      <c r="P46" t="s">
        <v>117</v>
      </c>
      <c r="Q46" t="s">
        <v>117</v>
      </c>
      <c r="R46" t="s">
        <v>117</v>
      </c>
      <c r="S46" t="s">
        <v>117</v>
      </c>
      <c r="T46" s="22" t="str">
        <f t="shared" si="18"/>
        <v/>
      </c>
      <c r="U46" t="s">
        <v>569</v>
      </c>
      <c r="V46" t="s">
        <v>117</v>
      </c>
      <c r="X46" t="s">
        <v>117</v>
      </c>
      <c r="Y46" t="s">
        <v>117</v>
      </c>
      <c r="AA46" t="s">
        <v>117</v>
      </c>
      <c r="AB46" t="s">
        <v>117</v>
      </c>
      <c r="AC46" t="s">
        <v>117</v>
      </c>
      <c r="AE46" s="23" t="str">
        <f t="shared" si="19"/>
        <v/>
      </c>
      <c r="AF46" s="24"/>
      <c r="AG46" s="24"/>
      <c r="AH46" s="24"/>
      <c r="AI46" s="24"/>
      <c r="AJ46" s="24"/>
      <c r="AK46" s="24"/>
      <c r="AL46" s="24"/>
      <c r="AM46" s="24"/>
      <c r="AN46" s="24"/>
      <c r="AO46" s="24"/>
      <c r="AP46" s="23" t="str">
        <f t="shared" si="20"/>
        <v/>
      </c>
      <c r="AQ46" s="24">
        <v>46258</v>
      </c>
      <c r="AR46" s="24"/>
      <c r="AS46" s="24"/>
      <c r="AT46" s="24"/>
      <c r="AU46" s="24"/>
      <c r="AV46" s="24"/>
      <c r="AW46" s="24"/>
      <c r="AX46" s="24"/>
      <c r="AY46" s="24"/>
      <c r="AZ46" s="24"/>
      <c r="BA46" s="23" t="str">
        <f t="shared" si="21"/>
        <v/>
      </c>
      <c r="BB46" s="24"/>
      <c r="BC46" s="24"/>
      <c r="BD46" s="24"/>
      <c r="BE46" s="24"/>
      <c r="BF46" s="24"/>
      <c r="BG46" s="24"/>
      <c r="BH46" s="24"/>
      <c r="BI46" s="24"/>
      <c r="BJ46" s="24"/>
      <c r="BK46" s="24"/>
      <c r="BL46" s="23" t="str">
        <f t="shared" si="22"/>
        <v/>
      </c>
      <c r="BM46" s="24"/>
      <c r="BN46" s="24"/>
      <c r="BO46" s="24"/>
      <c r="BP46" s="24"/>
      <c r="BQ46" s="24"/>
      <c r="BR46" s="24"/>
      <c r="BS46" s="24"/>
      <c r="BT46" s="24"/>
      <c r="BU46" s="24"/>
      <c r="BV46" s="24"/>
      <c r="BW46" s="23" t="str">
        <f t="shared" si="23"/>
        <v/>
      </c>
      <c r="BX46" s="24"/>
      <c r="BY46" s="24"/>
      <c r="BZ46" s="24"/>
      <c r="CA46" s="24"/>
      <c r="CB46" s="24"/>
      <c r="CC46" s="24"/>
      <c r="CD46" s="24"/>
      <c r="CE46" s="24"/>
      <c r="CF46" s="24"/>
      <c r="CG46" s="24"/>
      <c r="CH46" s="23" t="str">
        <f t="shared" si="24"/>
        <v/>
      </c>
      <c r="CI46" s="24"/>
      <c r="CJ46" s="24"/>
      <c r="CK46" s="24"/>
      <c r="CL46" s="24"/>
      <c r="CM46" s="24"/>
      <c r="CN46" s="24"/>
      <c r="CO46" s="24"/>
      <c r="CP46" s="24"/>
      <c r="CQ46" s="24"/>
      <c r="CR46" s="24"/>
      <c r="CS46" s="23">
        <f t="shared" si="25"/>
        <v>46261</v>
      </c>
      <c r="CT46" s="24">
        <v>46261</v>
      </c>
      <c r="CU46" s="24"/>
      <c r="CV46" s="24"/>
      <c r="CW46" s="24"/>
      <c r="CX46" s="24"/>
      <c r="CY46" s="24"/>
      <c r="CZ46" s="24"/>
      <c r="DA46" s="24"/>
      <c r="DB46" s="24"/>
      <c r="DC46" s="24"/>
      <c r="DD46" s="23" t="str">
        <f t="shared" si="26"/>
        <v/>
      </c>
      <c r="DE46" s="24"/>
      <c r="DF46" s="24"/>
      <c r="DG46" s="24"/>
      <c r="DH46" s="24"/>
      <c r="DI46" s="24"/>
      <c r="DJ46" s="24"/>
      <c r="DK46" s="24"/>
      <c r="DL46" s="24"/>
      <c r="DM46" s="24"/>
      <c r="DN46" s="24"/>
      <c r="DO46" s="22" t="str">
        <f t="shared" si="27"/>
        <v/>
      </c>
      <c r="DR46" t="s">
        <v>117</v>
      </c>
      <c r="DZ46" s="23" t="str">
        <f t="shared" si="28"/>
        <v/>
      </c>
      <c r="EA46" s="24"/>
      <c r="EB46" s="24"/>
      <c r="EC46" s="24"/>
      <c r="ED46" s="24"/>
      <c r="EE46" s="24"/>
      <c r="EF46" s="24"/>
      <c r="EG46" s="24"/>
      <c r="EH46" s="24"/>
      <c r="EI46" s="24"/>
      <c r="EJ46" s="24"/>
      <c r="EK46" s="23" t="str">
        <f t="shared" si="29"/>
        <v/>
      </c>
      <c r="EL46" s="24"/>
      <c r="EM46" s="24"/>
      <c r="EN46" s="24"/>
      <c r="EO46" s="24"/>
      <c r="EP46" s="24"/>
      <c r="EQ46" s="24"/>
      <c r="ER46" s="24"/>
      <c r="ES46" s="24"/>
      <c r="ET46" s="24"/>
      <c r="EU46" s="24"/>
      <c r="EV46" s="23" t="str">
        <f t="shared" si="30"/>
        <v/>
      </c>
      <c r="EW46" s="24"/>
      <c r="EX46" s="24"/>
      <c r="EY46" s="24"/>
      <c r="EZ46" s="24"/>
      <c r="FA46" s="24"/>
      <c r="FB46" s="24"/>
      <c r="FC46" s="24"/>
      <c r="FD46" s="24"/>
      <c r="FE46" s="24"/>
      <c r="FF46" s="24"/>
      <c r="FG46" s="23" t="str">
        <f t="shared" si="31"/>
        <v/>
      </c>
      <c r="FH46" s="24"/>
      <c r="FI46" s="24"/>
      <c r="FJ46" s="24"/>
      <c r="FK46" s="24"/>
      <c r="FL46" s="24"/>
      <c r="FM46" s="24"/>
      <c r="FN46" s="24"/>
      <c r="FO46" s="24"/>
      <c r="FP46" s="24"/>
      <c r="FQ46" s="24"/>
    </row>
    <row r="47" spans="1:173" x14ac:dyDescent="0.25">
      <c r="A47">
        <v>4153</v>
      </c>
      <c r="B47" t="str">
        <f t="shared" si="16"/>
        <v>WHSU6302093|WHLC100GX11558</v>
      </c>
      <c r="C47" s="24">
        <v>46224.364629629628</v>
      </c>
      <c r="E47" t="s">
        <v>578</v>
      </c>
      <c r="F47" t="s">
        <v>434</v>
      </c>
      <c r="G47" t="s">
        <v>579</v>
      </c>
      <c r="H47" t="s">
        <v>572</v>
      </c>
      <c r="I47" s="22" t="str">
        <f t="shared" si="17"/>
        <v/>
      </c>
      <c r="J47" t="s">
        <v>572</v>
      </c>
      <c r="K47" t="s">
        <v>572</v>
      </c>
      <c r="L47" t="s">
        <v>117</v>
      </c>
      <c r="M47" t="s">
        <v>117</v>
      </c>
      <c r="N47" t="s">
        <v>572</v>
      </c>
      <c r="O47" t="s">
        <v>117</v>
      </c>
      <c r="P47" t="s">
        <v>117</v>
      </c>
      <c r="Q47" t="s">
        <v>117</v>
      </c>
      <c r="R47" t="s">
        <v>572</v>
      </c>
      <c r="S47" t="s">
        <v>117</v>
      </c>
      <c r="T47" s="22" t="str">
        <f t="shared" si="18"/>
        <v/>
      </c>
      <c r="U47" t="s">
        <v>513</v>
      </c>
      <c r="V47" t="s">
        <v>513</v>
      </c>
      <c r="X47" t="s">
        <v>117</v>
      </c>
      <c r="Y47" t="s">
        <v>513</v>
      </c>
      <c r="AA47" t="s">
        <v>117</v>
      </c>
      <c r="AB47" t="s">
        <v>117</v>
      </c>
      <c r="AC47" t="s">
        <v>513</v>
      </c>
      <c r="AE47" s="23" t="str">
        <f t="shared" si="19"/>
        <v/>
      </c>
      <c r="AF47" s="24">
        <v>46223</v>
      </c>
      <c r="AG47" s="24">
        <v>46223</v>
      </c>
      <c r="AH47" s="24"/>
      <c r="AI47" s="24"/>
      <c r="AJ47" s="24">
        <v>46223.831944444442</v>
      </c>
      <c r="AK47" s="24"/>
      <c r="AL47" s="24"/>
      <c r="AM47" s="24"/>
      <c r="AN47" s="24">
        <v>46223</v>
      </c>
      <c r="AO47" s="24"/>
      <c r="AP47" s="23" t="str">
        <f t="shared" si="20"/>
        <v/>
      </c>
      <c r="AQ47" s="24">
        <v>46249</v>
      </c>
      <c r="AR47" s="24">
        <v>46249</v>
      </c>
      <c r="AS47" s="24"/>
      <c r="AT47" s="24"/>
      <c r="AU47" s="24">
        <v>46249.5625</v>
      </c>
      <c r="AV47" s="24"/>
      <c r="AW47" s="24"/>
      <c r="AX47" s="24"/>
      <c r="AY47" s="24">
        <v>46248</v>
      </c>
      <c r="AZ47" s="24"/>
      <c r="BA47" s="23" t="str">
        <f t="shared" si="21"/>
        <v/>
      </c>
      <c r="BB47" s="24"/>
      <c r="BC47" s="24"/>
      <c r="BD47" s="24"/>
      <c r="BE47" s="24"/>
      <c r="BF47" s="24"/>
      <c r="BG47" s="24"/>
      <c r="BH47" s="24"/>
      <c r="BI47" s="24"/>
      <c r="BJ47" s="24"/>
      <c r="BK47" s="24"/>
      <c r="BL47" s="23" t="str">
        <f t="shared" si="22"/>
        <v/>
      </c>
      <c r="BM47" s="24">
        <v>46249</v>
      </c>
      <c r="BN47" s="24">
        <v>46249</v>
      </c>
      <c r="BO47" s="24"/>
      <c r="BP47" s="24"/>
      <c r="BQ47" s="24"/>
      <c r="BR47" s="24"/>
      <c r="BS47" s="24"/>
      <c r="BT47" s="24"/>
      <c r="BU47" s="24">
        <v>46248</v>
      </c>
      <c r="BV47" s="24"/>
      <c r="BW47" s="23" t="str">
        <f t="shared" si="23"/>
        <v/>
      </c>
      <c r="BX47" s="24"/>
      <c r="BY47" s="24"/>
      <c r="BZ47" s="24"/>
      <c r="CA47" s="24"/>
      <c r="CB47" s="24"/>
      <c r="CC47" s="24"/>
      <c r="CD47" s="24"/>
      <c r="CE47" s="24"/>
      <c r="CF47" s="24"/>
      <c r="CG47" s="24"/>
      <c r="CH47" s="23" t="str">
        <f t="shared" si="24"/>
        <v/>
      </c>
      <c r="CI47" s="24"/>
      <c r="CJ47" s="24"/>
      <c r="CK47" s="24"/>
      <c r="CL47" s="24"/>
      <c r="CM47" s="24"/>
      <c r="CN47" s="24"/>
      <c r="CO47" s="24"/>
      <c r="CP47" s="24"/>
      <c r="CQ47" s="24"/>
      <c r="CR47" s="24"/>
      <c r="CS47" s="23">
        <f t="shared" si="25"/>
        <v>46254</v>
      </c>
      <c r="CT47" s="24">
        <v>46254</v>
      </c>
      <c r="CU47" s="24">
        <v>46254</v>
      </c>
      <c r="CV47" s="24"/>
      <c r="CW47" s="24"/>
      <c r="CX47" s="24"/>
      <c r="CY47" s="24"/>
      <c r="CZ47" s="24"/>
      <c r="DA47" s="24"/>
      <c r="DB47" s="24"/>
      <c r="DC47" s="24"/>
      <c r="DD47" s="23" t="str">
        <f t="shared" si="26"/>
        <v/>
      </c>
      <c r="DE47" s="24"/>
      <c r="DF47" s="24"/>
      <c r="DG47" s="24"/>
      <c r="DH47" s="24"/>
      <c r="DI47" s="24"/>
      <c r="DJ47" s="24"/>
      <c r="DK47" s="24"/>
      <c r="DL47" s="24"/>
      <c r="DM47" s="24"/>
      <c r="DN47" s="24"/>
      <c r="DO47" s="22" t="str">
        <f t="shared" si="27"/>
        <v/>
      </c>
      <c r="DR47" t="s">
        <v>117</v>
      </c>
      <c r="DZ47" s="23" t="str">
        <f t="shared" si="28"/>
        <v/>
      </c>
      <c r="EA47" s="24"/>
      <c r="EB47" s="24"/>
      <c r="EC47" s="24"/>
      <c r="ED47" s="24"/>
      <c r="EE47" s="24"/>
      <c r="EF47" s="24"/>
      <c r="EG47" s="24"/>
      <c r="EH47" s="24"/>
      <c r="EI47" s="24"/>
      <c r="EJ47" s="24"/>
      <c r="EK47" s="23" t="str">
        <f t="shared" si="29"/>
        <v/>
      </c>
      <c r="EL47" s="24"/>
      <c r="EM47" s="24"/>
      <c r="EN47" s="24"/>
      <c r="EO47" s="24"/>
      <c r="EP47" s="24"/>
      <c r="EQ47" s="24"/>
      <c r="ER47" s="24"/>
      <c r="ES47" s="24"/>
      <c r="ET47" s="24"/>
      <c r="EU47" s="24"/>
      <c r="EV47" s="23" t="str">
        <f t="shared" si="30"/>
        <v/>
      </c>
      <c r="EW47" s="24"/>
      <c r="EX47" s="24"/>
      <c r="EY47" s="24"/>
      <c r="EZ47" s="24"/>
      <c r="FA47" s="24"/>
      <c r="FB47" s="24"/>
      <c r="FC47" s="24"/>
      <c r="FD47" s="24"/>
      <c r="FE47" s="24"/>
      <c r="FF47" s="24"/>
      <c r="FG47" s="23" t="str">
        <f t="shared" si="31"/>
        <v/>
      </c>
      <c r="FH47" s="24"/>
      <c r="FI47" s="24"/>
      <c r="FJ47" s="24"/>
      <c r="FK47" s="24"/>
      <c r="FL47" s="24"/>
      <c r="FM47" s="24"/>
      <c r="FN47" s="24"/>
      <c r="FO47" s="24"/>
      <c r="FP47" s="24"/>
      <c r="FQ47" s="24"/>
    </row>
    <row r="48" spans="1:173" x14ac:dyDescent="0.25">
      <c r="A48">
        <v>4154</v>
      </c>
      <c r="B48" t="str">
        <f t="shared" si="16"/>
        <v>WHSU6725958|HDMU067GX16115</v>
      </c>
      <c r="C48" s="24">
        <v>46224.370104166665</v>
      </c>
      <c r="E48" t="s">
        <v>580</v>
      </c>
      <c r="F48" t="s">
        <v>434</v>
      </c>
      <c r="G48" t="s">
        <v>581</v>
      </c>
      <c r="H48" t="s">
        <v>582</v>
      </c>
      <c r="I48" s="22" t="str">
        <f t="shared" si="17"/>
        <v/>
      </c>
      <c r="J48" t="s">
        <v>582</v>
      </c>
      <c r="K48" t="s">
        <v>117</v>
      </c>
      <c r="L48" t="s">
        <v>117</v>
      </c>
      <c r="M48" t="s">
        <v>117</v>
      </c>
      <c r="N48" t="s">
        <v>117</v>
      </c>
      <c r="O48" t="s">
        <v>117</v>
      </c>
      <c r="P48" t="s">
        <v>117</v>
      </c>
      <c r="Q48" t="s">
        <v>117</v>
      </c>
      <c r="R48" t="s">
        <v>117</v>
      </c>
      <c r="S48" t="s">
        <v>117</v>
      </c>
      <c r="T48" s="22" t="str">
        <f t="shared" si="18"/>
        <v/>
      </c>
      <c r="U48" t="s">
        <v>583</v>
      </c>
      <c r="V48" t="s">
        <v>117</v>
      </c>
      <c r="X48" t="s">
        <v>117</v>
      </c>
      <c r="Y48" t="s">
        <v>117</v>
      </c>
      <c r="AA48" t="s">
        <v>117</v>
      </c>
      <c r="AB48" t="s">
        <v>117</v>
      </c>
      <c r="AC48" t="s">
        <v>117</v>
      </c>
      <c r="AE48" s="23" t="str">
        <f t="shared" si="19"/>
        <v/>
      </c>
      <c r="AF48" s="24">
        <v>46226</v>
      </c>
      <c r="AG48" s="24"/>
      <c r="AH48" s="24"/>
      <c r="AI48" s="24"/>
      <c r="AJ48" s="24"/>
      <c r="AK48" s="24"/>
      <c r="AL48" s="24"/>
      <c r="AM48" s="24"/>
      <c r="AN48" s="24"/>
      <c r="AO48" s="24"/>
      <c r="AP48" s="23" t="str">
        <f t="shared" si="20"/>
        <v/>
      </c>
      <c r="AQ48" s="24">
        <v>46258</v>
      </c>
      <c r="AR48" s="24"/>
      <c r="AS48" s="24"/>
      <c r="AT48" s="24"/>
      <c r="AU48" s="24"/>
      <c r="AV48" s="24"/>
      <c r="AW48" s="24"/>
      <c r="AX48" s="24"/>
      <c r="AY48" s="24"/>
      <c r="AZ48" s="24"/>
      <c r="BA48" s="23" t="str">
        <f t="shared" si="21"/>
        <v/>
      </c>
      <c r="BB48" s="24"/>
      <c r="BC48" s="24"/>
      <c r="BD48" s="24"/>
      <c r="BE48" s="24"/>
      <c r="BF48" s="24"/>
      <c r="BG48" s="24"/>
      <c r="BH48" s="24"/>
      <c r="BI48" s="24"/>
      <c r="BJ48" s="24"/>
      <c r="BK48" s="24"/>
      <c r="BL48" s="23" t="str">
        <f t="shared" si="22"/>
        <v/>
      </c>
      <c r="BM48" s="24"/>
      <c r="BN48" s="24"/>
      <c r="BO48" s="24"/>
      <c r="BP48" s="24"/>
      <c r="BQ48" s="24"/>
      <c r="BR48" s="24"/>
      <c r="BS48" s="24"/>
      <c r="BT48" s="24"/>
      <c r="BU48" s="24"/>
      <c r="BV48" s="24"/>
      <c r="BW48" s="23" t="str">
        <f t="shared" si="23"/>
        <v/>
      </c>
      <c r="BX48" s="24"/>
      <c r="BY48" s="24"/>
      <c r="BZ48" s="24"/>
      <c r="CA48" s="24"/>
      <c r="CB48" s="24"/>
      <c r="CC48" s="24"/>
      <c r="CD48" s="24"/>
      <c r="CE48" s="24"/>
      <c r="CF48" s="24"/>
      <c r="CG48" s="24"/>
      <c r="CH48" s="23" t="str">
        <f t="shared" si="24"/>
        <v/>
      </c>
      <c r="CI48" s="24"/>
      <c r="CJ48" s="24"/>
      <c r="CK48" s="24"/>
      <c r="CL48" s="24"/>
      <c r="CM48" s="24"/>
      <c r="CN48" s="24"/>
      <c r="CO48" s="24"/>
      <c r="CP48" s="24"/>
      <c r="CQ48" s="24"/>
      <c r="CR48" s="24"/>
      <c r="CS48" s="23">
        <f t="shared" si="25"/>
        <v>46261</v>
      </c>
      <c r="CT48" s="24">
        <v>46261</v>
      </c>
      <c r="CU48" s="24"/>
      <c r="CV48" s="24"/>
      <c r="CW48" s="24"/>
      <c r="CX48" s="24"/>
      <c r="CY48" s="24"/>
      <c r="CZ48" s="24"/>
      <c r="DA48" s="24"/>
      <c r="DB48" s="24"/>
      <c r="DC48" s="24"/>
      <c r="DD48" s="23" t="str">
        <f t="shared" si="26"/>
        <v/>
      </c>
      <c r="DE48" s="24"/>
      <c r="DF48" s="24"/>
      <c r="DG48" s="24"/>
      <c r="DH48" s="24"/>
      <c r="DI48" s="24"/>
      <c r="DJ48" s="24"/>
      <c r="DK48" s="24"/>
      <c r="DL48" s="24"/>
      <c r="DM48" s="24"/>
      <c r="DN48" s="24"/>
      <c r="DO48" s="22" t="str">
        <f t="shared" si="27"/>
        <v/>
      </c>
      <c r="DR48" t="s">
        <v>117</v>
      </c>
      <c r="DZ48" s="23" t="str">
        <f t="shared" si="28"/>
        <v/>
      </c>
      <c r="EA48" s="24"/>
      <c r="EB48" s="24"/>
      <c r="EC48" s="24"/>
      <c r="ED48" s="24"/>
      <c r="EE48" s="24"/>
      <c r="EF48" s="24"/>
      <c r="EG48" s="24"/>
      <c r="EH48" s="24"/>
      <c r="EI48" s="24"/>
      <c r="EJ48" s="24"/>
      <c r="EK48" s="23" t="str">
        <f t="shared" si="29"/>
        <v/>
      </c>
      <c r="EL48" s="24"/>
      <c r="EM48" s="24"/>
      <c r="EN48" s="24"/>
      <c r="EO48" s="24"/>
      <c r="EP48" s="24"/>
      <c r="EQ48" s="24"/>
      <c r="ER48" s="24"/>
      <c r="ES48" s="24"/>
      <c r="ET48" s="24"/>
      <c r="EU48" s="24"/>
      <c r="EV48" s="23" t="str">
        <f t="shared" si="30"/>
        <v/>
      </c>
      <c r="EW48" s="24"/>
      <c r="EX48" s="24"/>
      <c r="EY48" s="24"/>
      <c r="EZ48" s="24"/>
      <c r="FA48" s="24"/>
      <c r="FB48" s="24"/>
      <c r="FC48" s="24"/>
      <c r="FD48" s="24"/>
      <c r="FE48" s="24"/>
      <c r="FF48" s="24"/>
      <c r="FG48" s="23" t="str">
        <f t="shared" si="31"/>
        <v/>
      </c>
      <c r="FH48" s="24"/>
      <c r="FI48" s="24"/>
      <c r="FJ48" s="24"/>
      <c r="FK48" s="24"/>
      <c r="FL48" s="24"/>
      <c r="FM48" s="24"/>
      <c r="FN48" s="24"/>
      <c r="FO48" s="24"/>
      <c r="FP48" s="24"/>
      <c r="FQ48" s="24"/>
    </row>
    <row r="49" spans="1:173" x14ac:dyDescent="0.25">
      <c r="A49">
        <v>4155</v>
      </c>
      <c r="B49" t="str">
        <f t="shared" si="16"/>
        <v>WHSU6794033|WHLC100GX11559</v>
      </c>
      <c r="C49" s="24">
        <v>46224.372094907405</v>
      </c>
      <c r="E49" t="s">
        <v>584</v>
      </c>
      <c r="F49" t="s">
        <v>434</v>
      </c>
      <c r="G49" t="s">
        <v>585</v>
      </c>
      <c r="H49" t="s">
        <v>586</v>
      </c>
      <c r="I49" s="22" t="str">
        <f t="shared" si="17"/>
        <v/>
      </c>
      <c r="J49" t="s">
        <v>586</v>
      </c>
      <c r="K49" t="s">
        <v>586</v>
      </c>
      <c r="L49" t="s">
        <v>117</v>
      </c>
      <c r="M49" t="s">
        <v>117</v>
      </c>
      <c r="N49" t="s">
        <v>586</v>
      </c>
      <c r="O49" t="s">
        <v>117</v>
      </c>
      <c r="P49" t="s">
        <v>117</v>
      </c>
      <c r="Q49" t="s">
        <v>117</v>
      </c>
      <c r="R49" t="s">
        <v>586</v>
      </c>
      <c r="S49" t="s">
        <v>117</v>
      </c>
      <c r="T49" s="22" t="str">
        <f t="shared" si="18"/>
        <v/>
      </c>
      <c r="U49" t="s">
        <v>513</v>
      </c>
      <c r="V49" t="s">
        <v>513</v>
      </c>
      <c r="X49" t="s">
        <v>117</v>
      </c>
      <c r="Y49" t="s">
        <v>513</v>
      </c>
      <c r="AA49" t="s">
        <v>117</v>
      </c>
      <c r="AB49" t="s">
        <v>117</v>
      </c>
      <c r="AC49" t="s">
        <v>513</v>
      </c>
      <c r="AE49" s="23" t="str">
        <f t="shared" si="19"/>
        <v/>
      </c>
      <c r="AF49" s="24">
        <v>46223</v>
      </c>
      <c r="AG49" s="24">
        <v>46223</v>
      </c>
      <c r="AH49" s="24"/>
      <c r="AI49" s="24"/>
      <c r="AJ49" s="24">
        <v>46223.831944444442</v>
      </c>
      <c r="AK49" s="24"/>
      <c r="AL49" s="24"/>
      <c r="AM49" s="24"/>
      <c r="AN49" s="24">
        <v>46223</v>
      </c>
      <c r="AO49" s="24"/>
      <c r="AP49" s="23" t="str">
        <f t="shared" si="20"/>
        <v/>
      </c>
      <c r="AQ49" s="24">
        <v>46249</v>
      </c>
      <c r="AR49" s="24">
        <v>46249</v>
      </c>
      <c r="AS49" s="24"/>
      <c r="AT49" s="24"/>
      <c r="AU49" s="24">
        <v>46249.5625</v>
      </c>
      <c r="AV49" s="24"/>
      <c r="AW49" s="24"/>
      <c r="AX49" s="24"/>
      <c r="AY49" s="24">
        <v>46248</v>
      </c>
      <c r="AZ49" s="24"/>
      <c r="BA49" s="23" t="str">
        <f t="shared" si="21"/>
        <v/>
      </c>
      <c r="BB49" s="24"/>
      <c r="BC49" s="24"/>
      <c r="BD49" s="24"/>
      <c r="BE49" s="24"/>
      <c r="BF49" s="24"/>
      <c r="BG49" s="24"/>
      <c r="BH49" s="24"/>
      <c r="BI49" s="24"/>
      <c r="BJ49" s="24"/>
      <c r="BK49" s="24"/>
      <c r="BL49" s="23" t="str">
        <f t="shared" si="22"/>
        <v/>
      </c>
      <c r="BM49" s="24">
        <v>46249</v>
      </c>
      <c r="BN49" s="24">
        <v>46249</v>
      </c>
      <c r="BO49" s="24"/>
      <c r="BP49" s="24"/>
      <c r="BQ49" s="24"/>
      <c r="BR49" s="24"/>
      <c r="BS49" s="24"/>
      <c r="BT49" s="24"/>
      <c r="BU49" s="24">
        <v>46248</v>
      </c>
      <c r="BV49" s="24"/>
      <c r="BW49" s="23" t="str">
        <f t="shared" si="23"/>
        <v/>
      </c>
      <c r="BX49" s="24"/>
      <c r="BY49" s="24"/>
      <c r="BZ49" s="24"/>
      <c r="CA49" s="24"/>
      <c r="CB49" s="24"/>
      <c r="CC49" s="24"/>
      <c r="CD49" s="24"/>
      <c r="CE49" s="24"/>
      <c r="CF49" s="24"/>
      <c r="CG49" s="24"/>
      <c r="CH49" s="23" t="str">
        <f t="shared" si="24"/>
        <v/>
      </c>
      <c r="CI49" s="24"/>
      <c r="CJ49" s="24"/>
      <c r="CK49" s="24"/>
      <c r="CL49" s="24"/>
      <c r="CM49" s="24"/>
      <c r="CN49" s="24"/>
      <c r="CO49" s="24"/>
      <c r="CP49" s="24"/>
      <c r="CQ49" s="24"/>
      <c r="CR49" s="24"/>
      <c r="CS49" s="23">
        <f t="shared" si="25"/>
        <v>46254</v>
      </c>
      <c r="CT49" s="24">
        <v>46254</v>
      </c>
      <c r="CU49" s="24">
        <v>46254</v>
      </c>
      <c r="CV49" s="24"/>
      <c r="CW49" s="24"/>
      <c r="CX49" s="24"/>
      <c r="CY49" s="24"/>
      <c r="CZ49" s="24"/>
      <c r="DA49" s="24"/>
      <c r="DB49" s="24"/>
      <c r="DC49" s="24"/>
      <c r="DD49" s="23" t="str">
        <f t="shared" si="26"/>
        <v/>
      </c>
      <c r="DE49" s="24"/>
      <c r="DF49" s="24"/>
      <c r="DG49" s="24"/>
      <c r="DH49" s="24"/>
      <c r="DI49" s="24"/>
      <c r="DJ49" s="24"/>
      <c r="DK49" s="24"/>
      <c r="DL49" s="24"/>
      <c r="DM49" s="24"/>
      <c r="DN49" s="24"/>
      <c r="DO49" s="22" t="str">
        <f t="shared" si="27"/>
        <v/>
      </c>
      <c r="DR49" t="s">
        <v>117</v>
      </c>
      <c r="DZ49" s="23" t="str">
        <f t="shared" si="28"/>
        <v/>
      </c>
      <c r="EA49" s="24"/>
      <c r="EB49" s="24"/>
      <c r="EC49" s="24"/>
      <c r="ED49" s="24"/>
      <c r="EE49" s="24"/>
      <c r="EF49" s="24"/>
      <c r="EG49" s="24"/>
      <c r="EH49" s="24"/>
      <c r="EI49" s="24"/>
      <c r="EJ49" s="24"/>
      <c r="EK49" s="23" t="str">
        <f t="shared" si="29"/>
        <v/>
      </c>
      <c r="EL49" s="24"/>
      <c r="EM49" s="24"/>
      <c r="EN49" s="24"/>
      <c r="EO49" s="24"/>
      <c r="EP49" s="24"/>
      <c r="EQ49" s="24"/>
      <c r="ER49" s="24"/>
      <c r="ES49" s="24"/>
      <c r="ET49" s="24"/>
      <c r="EU49" s="24"/>
      <c r="EV49" s="23" t="str">
        <f t="shared" si="30"/>
        <v/>
      </c>
      <c r="EW49" s="24"/>
      <c r="EX49" s="24"/>
      <c r="EY49" s="24"/>
      <c r="EZ49" s="24"/>
      <c r="FA49" s="24"/>
      <c r="FB49" s="24"/>
      <c r="FC49" s="24"/>
      <c r="FD49" s="24"/>
      <c r="FE49" s="24"/>
      <c r="FF49" s="24"/>
      <c r="FG49" s="23" t="str">
        <f t="shared" si="31"/>
        <v/>
      </c>
      <c r="FH49" s="24"/>
      <c r="FI49" s="24"/>
      <c r="FJ49" s="24"/>
      <c r="FK49" s="24"/>
      <c r="FL49" s="24"/>
      <c r="FM49" s="24"/>
      <c r="FN49" s="24"/>
      <c r="FO49" s="24"/>
      <c r="FP49" s="24"/>
      <c r="FQ49" s="24"/>
    </row>
    <row r="50" spans="1:173" x14ac:dyDescent="0.25">
      <c r="A50">
        <v>4156</v>
      </c>
      <c r="B50" t="str">
        <f t="shared" si="16"/>
        <v>HMMU6361377|HANM94070100</v>
      </c>
      <c r="C50" s="24">
        <v>46224.375752314816</v>
      </c>
      <c r="E50" t="s">
        <v>587</v>
      </c>
      <c r="F50" t="s">
        <v>434</v>
      </c>
      <c r="G50" t="s">
        <v>588</v>
      </c>
      <c r="H50" t="s">
        <v>589</v>
      </c>
      <c r="I50" s="22" t="str">
        <f t="shared" si="17"/>
        <v/>
      </c>
      <c r="J50" t="s">
        <v>589</v>
      </c>
      <c r="K50" t="s">
        <v>117</v>
      </c>
      <c r="L50" t="s">
        <v>117</v>
      </c>
      <c r="M50" t="s">
        <v>117</v>
      </c>
      <c r="N50" t="s">
        <v>117</v>
      </c>
      <c r="O50" t="s">
        <v>117</v>
      </c>
      <c r="P50" t="s">
        <v>117</v>
      </c>
      <c r="Q50" t="s">
        <v>117</v>
      </c>
      <c r="R50" t="s">
        <v>117</v>
      </c>
      <c r="S50" t="s">
        <v>117</v>
      </c>
      <c r="T50" s="22" t="str">
        <f t="shared" si="18"/>
        <v/>
      </c>
      <c r="U50" t="s">
        <v>590</v>
      </c>
      <c r="V50" t="s">
        <v>117</v>
      </c>
      <c r="X50" t="s">
        <v>117</v>
      </c>
      <c r="Y50" t="s">
        <v>117</v>
      </c>
      <c r="AA50" t="s">
        <v>117</v>
      </c>
      <c r="AB50" t="s">
        <v>117</v>
      </c>
      <c r="AC50" t="s">
        <v>117</v>
      </c>
      <c r="AE50" s="23" t="str">
        <f t="shared" si="19"/>
        <v/>
      </c>
      <c r="AF50" s="24">
        <v>46227</v>
      </c>
      <c r="AG50" s="24"/>
      <c r="AH50" s="24"/>
      <c r="AI50" s="24"/>
      <c r="AJ50" s="24"/>
      <c r="AK50" s="24"/>
      <c r="AL50" s="24"/>
      <c r="AM50" s="24"/>
      <c r="AN50" s="24"/>
      <c r="AO50" s="24"/>
      <c r="AP50" s="23" t="str">
        <f t="shared" si="20"/>
        <v/>
      </c>
      <c r="AQ50" s="24">
        <v>46258</v>
      </c>
      <c r="AR50" s="24"/>
      <c r="AS50" s="24"/>
      <c r="AT50" s="24"/>
      <c r="AU50" s="24"/>
      <c r="AV50" s="24"/>
      <c r="AW50" s="24"/>
      <c r="AX50" s="24"/>
      <c r="AY50" s="24"/>
      <c r="AZ50" s="24"/>
      <c r="BA50" s="23" t="str">
        <f t="shared" si="21"/>
        <v/>
      </c>
      <c r="BB50" s="24"/>
      <c r="BC50" s="24"/>
      <c r="BD50" s="24"/>
      <c r="BE50" s="24"/>
      <c r="BF50" s="24"/>
      <c r="BG50" s="24"/>
      <c r="BH50" s="24"/>
      <c r="BI50" s="24"/>
      <c r="BJ50" s="24"/>
      <c r="BK50" s="24"/>
      <c r="BL50" s="23" t="str">
        <f t="shared" si="22"/>
        <v/>
      </c>
      <c r="BM50" s="24"/>
      <c r="BN50" s="24"/>
      <c r="BO50" s="24"/>
      <c r="BP50" s="24"/>
      <c r="BQ50" s="24"/>
      <c r="BR50" s="24"/>
      <c r="BS50" s="24"/>
      <c r="BT50" s="24"/>
      <c r="BU50" s="24"/>
      <c r="BV50" s="24"/>
      <c r="BW50" s="23" t="str">
        <f t="shared" si="23"/>
        <v/>
      </c>
      <c r="BX50" s="24"/>
      <c r="BY50" s="24"/>
      <c r="BZ50" s="24"/>
      <c r="CA50" s="24"/>
      <c r="CB50" s="24"/>
      <c r="CC50" s="24"/>
      <c r="CD50" s="24"/>
      <c r="CE50" s="24"/>
      <c r="CF50" s="24"/>
      <c r="CG50" s="24"/>
      <c r="CH50" s="23" t="str">
        <f t="shared" si="24"/>
        <v/>
      </c>
      <c r="CI50" s="24"/>
      <c r="CJ50" s="24"/>
      <c r="CK50" s="24"/>
      <c r="CL50" s="24"/>
      <c r="CM50" s="24"/>
      <c r="CN50" s="24"/>
      <c r="CO50" s="24"/>
      <c r="CP50" s="24"/>
      <c r="CQ50" s="24"/>
      <c r="CR50" s="24"/>
      <c r="CS50" s="23">
        <f t="shared" si="25"/>
        <v>46261</v>
      </c>
      <c r="CT50" s="24">
        <v>46261</v>
      </c>
      <c r="CU50" s="24"/>
      <c r="CV50" s="24"/>
      <c r="CW50" s="24"/>
      <c r="CX50" s="24"/>
      <c r="CY50" s="24"/>
      <c r="CZ50" s="24"/>
      <c r="DA50" s="24"/>
      <c r="DB50" s="24"/>
      <c r="DC50" s="24"/>
      <c r="DD50" s="23" t="str">
        <f t="shared" si="26"/>
        <v/>
      </c>
      <c r="DE50" s="24"/>
      <c r="DF50" s="24"/>
      <c r="DG50" s="24"/>
      <c r="DH50" s="24"/>
      <c r="DI50" s="24"/>
      <c r="DJ50" s="24"/>
      <c r="DK50" s="24"/>
      <c r="DL50" s="24"/>
      <c r="DM50" s="24"/>
      <c r="DN50" s="24"/>
      <c r="DO50" s="22" t="str">
        <f t="shared" si="27"/>
        <v/>
      </c>
      <c r="DR50" t="s">
        <v>117</v>
      </c>
      <c r="DZ50" s="23" t="str">
        <f t="shared" si="28"/>
        <v/>
      </c>
      <c r="EA50" s="24"/>
      <c r="EB50" s="24"/>
      <c r="EC50" s="24"/>
      <c r="ED50" s="24"/>
      <c r="EE50" s="24"/>
      <c r="EF50" s="24"/>
      <c r="EG50" s="24"/>
      <c r="EH50" s="24"/>
      <c r="EI50" s="24"/>
      <c r="EJ50" s="24"/>
      <c r="EK50" s="23" t="str">
        <f t="shared" si="29"/>
        <v/>
      </c>
      <c r="EL50" s="24"/>
      <c r="EM50" s="24"/>
      <c r="EN50" s="24"/>
      <c r="EO50" s="24"/>
      <c r="EP50" s="24"/>
      <c r="EQ50" s="24"/>
      <c r="ER50" s="24"/>
      <c r="ES50" s="24"/>
      <c r="ET50" s="24"/>
      <c r="EU50" s="24"/>
      <c r="EV50" s="23" t="str">
        <f t="shared" si="30"/>
        <v/>
      </c>
      <c r="EW50" s="24"/>
      <c r="EX50" s="24"/>
      <c r="EY50" s="24"/>
      <c r="EZ50" s="24"/>
      <c r="FA50" s="24"/>
      <c r="FB50" s="24"/>
      <c r="FC50" s="24"/>
      <c r="FD50" s="24"/>
      <c r="FE50" s="24"/>
      <c r="FF50" s="24"/>
      <c r="FG50" s="23" t="str">
        <f t="shared" si="31"/>
        <v/>
      </c>
      <c r="FH50" s="24"/>
      <c r="FI50" s="24"/>
      <c r="FJ50" s="24"/>
      <c r="FK50" s="24"/>
      <c r="FL50" s="24"/>
      <c r="FM50" s="24"/>
      <c r="FN50" s="24"/>
      <c r="FO50" s="24"/>
      <c r="FP50" s="24"/>
      <c r="FQ50" s="24"/>
    </row>
    <row r="51" spans="1:173" x14ac:dyDescent="0.25">
      <c r="A51">
        <v>4157</v>
      </c>
      <c r="B51" t="str">
        <f t="shared" si="16"/>
        <v>WHSU6827029|WHLC100GX11559</v>
      </c>
      <c r="C51" s="24">
        <v>46224.385057870371</v>
      </c>
      <c r="E51" t="s">
        <v>591</v>
      </c>
      <c r="F51" t="s">
        <v>434</v>
      </c>
      <c r="G51" t="s">
        <v>592</v>
      </c>
      <c r="H51" t="s">
        <v>586</v>
      </c>
      <c r="I51" s="22" t="str">
        <f t="shared" si="17"/>
        <v/>
      </c>
      <c r="J51" t="s">
        <v>586</v>
      </c>
      <c r="K51" t="s">
        <v>586</v>
      </c>
      <c r="L51" t="s">
        <v>117</v>
      </c>
      <c r="M51" t="s">
        <v>117</v>
      </c>
      <c r="N51" t="s">
        <v>586</v>
      </c>
      <c r="O51" t="s">
        <v>117</v>
      </c>
      <c r="P51" t="s">
        <v>117</v>
      </c>
      <c r="Q51" t="s">
        <v>117</v>
      </c>
      <c r="R51" t="s">
        <v>586</v>
      </c>
      <c r="S51" t="s">
        <v>117</v>
      </c>
      <c r="T51" s="22" t="str">
        <f t="shared" si="18"/>
        <v/>
      </c>
      <c r="U51" t="s">
        <v>513</v>
      </c>
      <c r="V51" t="s">
        <v>513</v>
      </c>
      <c r="X51" t="s">
        <v>117</v>
      </c>
      <c r="Y51" t="s">
        <v>513</v>
      </c>
      <c r="AA51" t="s">
        <v>117</v>
      </c>
      <c r="AB51" t="s">
        <v>117</v>
      </c>
      <c r="AC51" t="s">
        <v>513</v>
      </c>
      <c r="AE51" s="23" t="str">
        <f t="shared" si="19"/>
        <v/>
      </c>
      <c r="AF51" s="24">
        <v>46223</v>
      </c>
      <c r="AG51" s="24">
        <v>46223</v>
      </c>
      <c r="AH51" s="24"/>
      <c r="AI51" s="24"/>
      <c r="AJ51" s="24">
        <v>46223.831944444442</v>
      </c>
      <c r="AK51" s="24"/>
      <c r="AL51" s="24"/>
      <c r="AM51" s="24"/>
      <c r="AN51" s="24">
        <v>46223</v>
      </c>
      <c r="AO51" s="24"/>
      <c r="AP51" s="23" t="str">
        <f t="shared" si="20"/>
        <v/>
      </c>
      <c r="AQ51" s="24">
        <v>46249</v>
      </c>
      <c r="AR51" s="24">
        <v>46249</v>
      </c>
      <c r="AS51" s="24"/>
      <c r="AT51" s="24"/>
      <c r="AU51" s="24">
        <v>46249.5625</v>
      </c>
      <c r="AV51" s="24"/>
      <c r="AW51" s="24"/>
      <c r="AX51" s="24"/>
      <c r="AY51" s="24">
        <v>46248</v>
      </c>
      <c r="AZ51" s="24"/>
      <c r="BA51" s="23" t="str">
        <f t="shared" si="21"/>
        <v/>
      </c>
      <c r="BB51" s="24"/>
      <c r="BC51" s="24"/>
      <c r="BD51" s="24"/>
      <c r="BE51" s="24"/>
      <c r="BF51" s="24"/>
      <c r="BG51" s="24"/>
      <c r="BH51" s="24"/>
      <c r="BI51" s="24"/>
      <c r="BJ51" s="24"/>
      <c r="BK51" s="24"/>
      <c r="BL51" s="23" t="str">
        <f t="shared" si="22"/>
        <v/>
      </c>
      <c r="BM51" s="24">
        <v>46249</v>
      </c>
      <c r="BN51" s="24">
        <v>46249</v>
      </c>
      <c r="BO51" s="24"/>
      <c r="BP51" s="24"/>
      <c r="BQ51" s="24"/>
      <c r="BR51" s="24"/>
      <c r="BS51" s="24"/>
      <c r="BT51" s="24"/>
      <c r="BU51" s="24">
        <v>46248</v>
      </c>
      <c r="BV51" s="24"/>
      <c r="BW51" s="23" t="str">
        <f t="shared" si="23"/>
        <v/>
      </c>
      <c r="BX51" s="24"/>
      <c r="BY51" s="24"/>
      <c r="BZ51" s="24"/>
      <c r="CA51" s="24"/>
      <c r="CB51" s="24"/>
      <c r="CC51" s="24"/>
      <c r="CD51" s="24"/>
      <c r="CE51" s="24"/>
      <c r="CF51" s="24"/>
      <c r="CG51" s="24"/>
      <c r="CH51" s="23" t="str">
        <f t="shared" si="24"/>
        <v/>
      </c>
      <c r="CI51" s="24"/>
      <c r="CJ51" s="24"/>
      <c r="CK51" s="24"/>
      <c r="CL51" s="24"/>
      <c r="CM51" s="24"/>
      <c r="CN51" s="24"/>
      <c r="CO51" s="24"/>
      <c r="CP51" s="24"/>
      <c r="CQ51" s="24"/>
      <c r="CR51" s="24"/>
      <c r="CS51" s="23">
        <f t="shared" si="25"/>
        <v>46254</v>
      </c>
      <c r="CT51" s="24">
        <v>46254</v>
      </c>
      <c r="CU51" s="24">
        <v>46254</v>
      </c>
      <c r="CV51" s="24"/>
      <c r="CW51" s="24"/>
      <c r="CX51" s="24"/>
      <c r="CY51" s="24"/>
      <c r="CZ51" s="24"/>
      <c r="DA51" s="24"/>
      <c r="DB51" s="24"/>
      <c r="DC51" s="24"/>
      <c r="DD51" s="23" t="str">
        <f t="shared" si="26"/>
        <v/>
      </c>
      <c r="DE51" s="24"/>
      <c r="DF51" s="24"/>
      <c r="DG51" s="24"/>
      <c r="DH51" s="24"/>
      <c r="DI51" s="24"/>
      <c r="DJ51" s="24"/>
      <c r="DK51" s="24"/>
      <c r="DL51" s="24"/>
      <c r="DM51" s="24"/>
      <c r="DN51" s="24"/>
      <c r="DO51" s="22" t="str">
        <f t="shared" si="27"/>
        <v/>
      </c>
      <c r="DR51" t="s">
        <v>117</v>
      </c>
      <c r="DZ51" s="23" t="str">
        <f t="shared" si="28"/>
        <v/>
      </c>
      <c r="EA51" s="24"/>
      <c r="EB51" s="24"/>
      <c r="EC51" s="24"/>
      <c r="ED51" s="24"/>
      <c r="EE51" s="24"/>
      <c r="EF51" s="24"/>
      <c r="EG51" s="24"/>
      <c r="EH51" s="24"/>
      <c r="EI51" s="24"/>
      <c r="EJ51" s="24"/>
      <c r="EK51" s="23" t="str">
        <f t="shared" si="29"/>
        <v/>
      </c>
      <c r="EL51" s="24"/>
      <c r="EM51" s="24"/>
      <c r="EN51" s="24"/>
      <c r="EO51" s="24"/>
      <c r="EP51" s="24"/>
      <c r="EQ51" s="24"/>
      <c r="ER51" s="24"/>
      <c r="ES51" s="24"/>
      <c r="ET51" s="24"/>
      <c r="EU51" s="24"/>
      <c r="EV51" s="23" t="str">
        <f t="shared" si="30"/>
        <v/>
      </c>
      <c r="EW51" s="24"/>
      <c r="EX51" s="24"/>
      <c r="EY51" s="24"/>
      <c r="EZ51" s="24"/>
      <c r="FA51" s="24"/>
      <c r="FB51" s="24"/>
      <c r="FC51" s="24"/>
      <c r="FD51" s="24"/>
      <c r="FE51" s="24"/>
      <c r="FF51" s="24"/>
      <c r="FG51" s="23" t="str">
        <f t="shared" si="31"/>
        <v/>
      </c>
      <c r="FH51" s="24"/>
      <c r="FI51" s="24"/>
      <c r="FJ51" s="24"/>
      <c r="FK51" s="24"/>
      <c r="FL51" s="24"/>
      <c r="FM51" s="24"/>
      <c r="FN51" s="24"/>
      <c r="FO51" s="24"/>
      <c r="FP51" s="24"/>
      <c r="FQ51" s="24"/>
    </row>
    <row r="52" spans="1:173" x14ac:dyDescent="0.25">
      <c r="A52">
        <v>4158</v>
      </c>
      <c r="B52" t="str">
        <f t="shared" si="16"/>
        <v>WHSU5440966|WHLC100GX11533</v>
      </c>
      <c r="C52" s="24">
        <v>46224.387187499997</v>
      </c>
      <c r="E52" t="s">
        <v>593</v>
      </c>
      <c r="F52" t="s">
        <v>434</v>
      </c>
      <c r="G52" t="s">
        <v>594</v>
      </c>
      <c r="H52" t="s">
        <v>595</v>
      </c>
      <c r="I52" s="22" t="str">
        <f t="shared" si="17"/>
        <v/>
      </c>
      <c r="J52" t="s">
        <v>595</v>
      </c>
      <c r="K52" t="s">
        <v>595</v>
      </c>
      <c r="L52" t="s">
        <v>117</v>
      </c>
      <c r="M52" t="s">
        <v>117</v>
      </c>
      <c r="N52" t="s">
        <v>595</v>
      </c>
      <c r="O52" t="s">
        <v>117</v>
      </c>
      <c r="P52" t="s">
        <v>117</v>
      </c>
      <c r="Q52" t="s">
        <v>117</v>
      </c>
      <c r="R52" t="s">
        <v>595</v>
      </c>
      <c r="S52" t="s">
        <v>117</v>
      </c>
      <c r="T52" s="22" t="str">
        <f t="shared" si="18"/>
        <v/>
      </c>
      <c r="U52" t="s">
        <v>596</v>
      </c>
      <c r="V52" t="s">
        <v>596</v>
      </c>
      <c r="X52" t="s">
        <v>117</v>
      </c>
      <c r="Y52" t="s">
        <v>596</v>
      </c>
      <c r="AA52" t="s">
        <v>117</v>
      </c>
      <c r="AB52" t="s">
        <v>117</v>
      </c>
      <c r="AC52" t="s">
        <v>596</v>
      </c>
      <c r="AE52" s="23" t="str">
        <f t="shared" si="19"/>
        <v/>
      </c>
      <c r="AF52" s="24">
        <v>46228</v>
      </c>
      <c r="AG52" s="24">
        <v>46228</v>
      </c>
      <c r="AH52" s="24"/>
      <c r="AI52" s="24"/>
      <c r="AJ52" s="24">
        <v>46229.068749999999</v>
      </c>
      <c r="AK52" s="24"/>
      <c r="AL52" s="24"/>
      <c r="AM52" s="24"/>
      <c r="AN52" s="24">
        <v>46228</v>
      </c>
      <c r="AO52" s="24"/>
      <c r="AP52" s="23">
        <f t="shared" si="20"/>
        <v>46253</v>
      </c>
      <c r="AQ52" s="24">
        <v>46254</v>
      </c>
      <c r="AR52" s="24">
        <v>46253</v>
      </c>
      <c r="AS52" s="24"/>
      <c r="AT52" s="24"/>
      <c r="AU52" s="24">
        <v>46253.75</v>
      </c>
      <c r="AV52" s="24"/>
      <c r="AW52" s="24"/>
      <c r="AX52" s="24"/>
      <c r="AY52" s="24">
        <v>46253</v>
      </c>
      <c r="AZ52" s="24"/>
      <c r="BA52" s="23" t="str">
        <f t="shared" si="21"/>
        <v/>
      </c>
      <c r="BB52" s="24"/>
      <c r="BC52" s="24"/>
      <c r="BD52" s="24"/>
      <c r="BE52" s="24"/>
      <c r="BF52" s="24"/>
      <c r="BG52" s="24"/>
      <c r="BH52" s="24"/>
      <c r="BI52" s="24"/>
      <c r="BJ52" s="24"/>
      <c r="BK52" s="24"/>
      <c r="BL52" s="23">
        <f t="shared" si="22"/>
        <v>46253</v>
      </c>
      <c r="BM52" s="24">
        <v>46254</v>
      </c>
      <c r="BN52" s="24">
        <v>46253</v>
      </c>
      <c r="BO52" s="24"/>
      <c r="BP52" s="24"/>
      <c r="BQ52" s="24"/>
      <c r="BR52" s="24"/>
      <c r="BS52" s="24"/>
      <c r="BT52" s="24"/>
      <c r="BU52" s="24">
        <v>46253</v>
      </c>
      <c r="BV52" s="24"/>
      <c r="BW52" s="23" t="str">
        <f t="shared" si="23"/>
        <v/>
      </c>
      <c r="BX52" s="24"/>
      <c r="BY52" s="24"/>
      <c r="BZ52" s="24"/>
      <c r="CA52" s="24"/>
      <c r="CB52" s="24"/>
      <c r="CC52" s="24"/>
      <c r="CD52" s="24"/>
      <c r="CE52" s="24"/>
      <c r="CF52" s="24"/>
      <c r="CG52" s="24"/>
      <c r="CH52" s="23" t="str">
        <f t="shared" si="24"/>
        <v/>
      </c>
      <c r="CI52" s="24"/>
      <c r="CJ52" s="24"/>
      <c r="CK52" s="24"/>
      <c r="CL52" s="24"/>
      <c r="CM52" s="24"/>
      <c r="CN52" s="24"/>
      <c r="CO52" s="24"/>
      <c r="CP52" s="24"/>
      <c r="CQ52" s="24"/>
      <c r="CR52" s="24"/>
      <c r="CS52" s="23">
        <f t="shared" si="25"/>
        <v>46258</v>
      </c>
      <c r="CT52" s="24">
        <v>46259</v>
      </c>
      <c r="CU52" s="24">
        <v>46258</v>
      </c>
      <c r="CV52" s="24"/>
      <c r="CW52" s="24"/>
      <c r="CX52" s="24"/>
      <c r="CY52" s="24"/>
      <c r="CZ52" s="24"/>
      <c r="DA52" s="24"/>
      <c r="DB52" s="24"/>
      <c r="DC52" s="24"/>
      <c r="DD52" s="23" t="str">
        <f t="shared" si="26"/>
        <v/>
      </c>
      <c r="DE52" s="24"/>
      <c r="DF52" s="24"/>
      <c r="DG52" s="24"/>
      <c r="DH52" s="24"/>
      <c r="DI52" s="24"/>
      <c r="DJ52" s="24"/>
      <c r="DK52" s="24"/>
      <c r="DL52" s="24"/>
      <c r="DM52" s="24"/>
      <c r="DN52" s="24"/>
      <c r="DO52" s="22" t="str">
        <f t="shared" si="27"/>
        <v/>
      </c>
      <c r="DR52" t="s">
        <v>117</v>
      </c>
      <c r="DZ52" s="23" t="str">
        <f t="shared" si="28"/>
        <v/>
      </c>
      <c r="EA52" s="24"/>
      <c r="EB52" s="24"/>
      <c r="EC52" s="24"/>
      <c r="ED52" s="24"/>
      <c r="EE52" s="24"/>
      <c r="EF52" s="24"/>
      <c r="EG52" s="24"/>
      <c r="EH52" s="24"/>
      <c r="EI52" s="24"/>
      <c r="EJ52" s="24"/>
      <c r="EK52" s="23" t="str">
        <f t="shared" si="29"/>
        <v/>
      </c>
      <c r="EL52" s="24"/>
      <c r="EM52" s="24"/>
      <c r="EN52" s="24"/>
      <c r="EO52" s="24"/>
      <c r="EP52" s="24"/>
      <c r="EQ52" s="24"/>
      <c r="ER52" s="24"/>
      <c r="ES52" s="24"/>
      <c r="ET52" s="24"/>
      <c r="EU52" s="24"/>
      <c r="EV52" s="23" t="str">
        <f t="shared" si="30"/>
        <v/>
      </c>
      <c r="EW52" s="24"/>
      <c r="EX52" s="24"/>
      <c r="EY52" s="24"/>
      <c r="EZ52" s="24"/>
      <c r="FA52" s="24"/>
      <c r="FB52" s="24"/>
      <c r="FC52" s="24"/>
      <c r="FD52" s="24"/>
      <c r="FE52" s="24"/>
      <c r="FF52" s="24"/>
      <c r="FG52" s="23" t="str">
        <f t="shared" si="31"/>
        <v/>
      </c>
      <c r="FH52" s="24"/>
      <c r="FI52" s="24"/>
      <c r="FJ52" s="24"/>
      <c r="FK52" s="24"/>
      <c r="FL52" s="24"/>
      <c r="FM52" s="24"/>
      <c r="FN52" s="24"/>
      <c r="FO52" s="24"/>
      <c r="FP52" s="24"/>
      <c r="FQ52" s="24"/>
    </row>
    <row r="53" spans="1:173" x14ac:dyDescent="0.25">
      <c r="A53">
        <v>4159</v>
      </c>
      <c r="B53" t="str">
        <f t="shared" si="16"/>
        <v>WHLU5806010|WHLC100GX11534</v>
      </c>
      <c r="C53" s="24">
        <v>46224.388182870367</v>
      </c>
      <c r="E53" t="s">
        <v>597</v>
      </c>
      <c r="F53" t="s">
        <v>434</v>
      </c>
      <c r="G53" t="s">
        <v>598</v>
      </c>
      <c r="H53" t="s">
        <v>599</v>
      </c>
      <c r="I53" s="22" t="str">
        <f t="shared" si="17"/>
        <v/>
      </c>
      <c r="J53" t="s">
        <v>599</v>
      </c>
      <c r="K53" t="s">
        <v>599</v>
      </c>
      <c r="L53" t="s">
        <v>117</v>
      </c>
      <c r="M53" t="s">
        <v>117</v>
      </c>
      <c r="N53" t="s">
        <v>599</v>
      </c>
      <c r="O53" t="s">
        <v>117</v>
      </c>
      <c r="P53" t="s">
        <v>117</v>
      </c>
      <c r="Q53" t="s">
        <v>117</v>
      </c>
      <c r="R53" t="s">
        <v>599</v>
      </c>
      <c r="S53" t="s">
        <v>117</v>
      </c>
      <c r="T53" s="22" t="str">
        <f t="shared" si="18"/>
        <v/>
      </c>
      <c r="U53" t="s">
        <v>513</v>
      </c>
      <c r="V53" t="s">
        <v>513</v>
      </c>
      <c r="X53" t="s">
        <v>117</v>
      </c>
      <c r="Y53" t="s">
        <v>513</v>
      </c>
      <c r="AA53" t="s">
        <v>117</v>
      </c>
      <c r="AB53" t="s">
        <v>117</v>
      </c>
      <c r="AC53" t="s">
        <v>513</v>
      </c>
      <c r="AE53" s="23" t="str">
        <f t="shared" si="19"/>
        <v/>
      </c>
      <c r="AF53" s="24">
        <v>46223</v>
      </c>
      <c r="AG53" s="24">
        <v>46223</v>
      </c>
      <c r="AH53" s="24"/>
      <c r="AI53" s="24"/>
      <c r="AJ53" s="24">
        <v>46223.831944444442</v>
      </c>
      <c r="AK53" s="24"/>
      <c r="AL53" s="24"/>
      <c r="AM53" s="24"/>
      <c r="AN53" s="24">
        <v>46223</v>
      </c>
      <c r="AO53" s="24"/>
      <c r="AP53" s="23" t="str">
        <f t="shared" si="20"/>
        <v/>
      </c>
      <c r="AQ53" s="24">
        <v>46249</v>
      </c>
      <c r="AR53" s="24">
        <v>46249</v>
      </c>
      <c r="AS53" s="24"/>
      <c r="AT53" s="24"/>
      <c r="AU53" s="24">
        <v>46249.5625</v>
      </c>
      <c r="AV53" s="24"/>
      <c r="AW53" s="24"/>
      <c r="AX53" s="24"/>
      <c r="AY53" s="24">
        <v>46248</v>
      </c>
      <c r="AZ53" s="24"/>
      <c r="BA53" s="23" t="str">
        <f t="shared" si="21"/>
        <v/>
      </c>
      <c r="BB53" s="24"/>
      <c r="BC53" s="24"/>
      <c r="BD53" s="24"/>
      <c r="BE53" s="24"/>
      <c r="BF53" s="24"/>
      <c r="BG53" s="24"/>
      <c r="BH53" s="24"/>
      <c r="BI53" s="24"/>
      <c r="BJ53" s="24"/>
      <c r="BK53" s="24"/>
      <c r="BL53" s="23" t="str">
        <f t="shared" si="22"/>
        <v/>
      </c>
      <c r="BM53" s="24">
        <v>46249</v>
      </c>
      <c r="BN53" s="24">
        <v>46249</v>
      </c>
      <c r="BO53" s="24"/>
      <c r="BP53" s="24"/>
      <c r="BQ53" s="24"/>
      <c r="BR53" s="24"/>
      <c r="BS53" s="24"/>
      <c r="BT53" s="24"/>
      <c r="BU53" s="24">
        <v>46248</v>
      </c>
      <c r="BV53" s="24"/>
      <c r="BW53" s="23" t="str">
        <f t="shared" si="23"/>
        <v/>
      </c>
      <c r="BX53" s="24"/>
      <c r="BY53" s="24"/>
      <c r="BZ53" s="24"/>
      <c r="CA53" s="24"/>
      <c r="CB53" s="24"/>
      <c r="CC53" s="24"/>
      <c r="CD53" s="24"/>
      <c r="CE53" s="24"/>
      <c r="CF53" s="24"/>
      <c r="CG53" s="24"/>
      <c r="CH53" s="23" t="str">
        <f t="shared" si="24"/>
        <v/>
      </c>
      <c r="CI53" s="24"/>
      <c r="CJ53" s="24"/>
      <c r="CK53" s="24"/>
      <c r="CL53" s="24"/>
      <c r="CM53" s="24"/>
      <c r="CN53" s="24"/>
      <c r="CO53" s="24"/>
      <c r="CP53" s="24"/>
      <c r="CQ53" s="24"/>
      <c r="CR53" s="24"/>
      <c r="CS53" s="23">
        <f t="shared" si="25"/>
        <v>46254</v>
      </c>
      <c r="CT53" s="24">
        <v>46254</v>
      </c>
      <c r="CU53" s="24">
        <v>46254</v>
      </c>
      <c r="CV53" s="24"/>
      <c r="CW53" s="24"/>
      <c r="CX53" s="24"/>
      <c r="CY53" s="24"/>
      <c r="CZ53" s="24"/>
      <c r="DA53" s="24"/>
      <c r="DB53" s="24"/>
      <c r="DC53" s="24"/>
      <c r="DD53" s="23" t="str">
        <f t="shared" si="26"/>
        <v/>
      </c>
      <c r="DE53" s="24"/>
      <c r="DF53" s="24"/>
      <c r="DG53" s="24"/>
      <c r="DH53" s="24"/>
      <c r="DI53" s="24"/>
      <c r="DJ53" s="24"/>
      <c r="DK53" s="24"/>
      <c r="DL53" s="24"/>
      <c r="DM53" s="24"/>
      <c r="DN53" s="24"/>
      <c r="DO53" s="22" t="str">
        <f t="shared" si="27"/>
        <v/>
      </c>
      <c r="DR53" t="s">
        <v>117</v>
      </c>
      <c r="DZ53" s="23" t="str">
        <f t="shared" si="28"/>
        <v/>
      </c>
      <c r="EA53" s="24"/>
      <c r="EB53" s="24"/>
      <c r="EC53" s="24"/>
      <c r="ED53" s="24"/>
      <c r="EE53" s="24"/>
      <c r="EF53" s="24"/>
      <c r="EG53" s="24"/>
      <c r="EH53" s="24"/>
      <c r="EI53" s="24"/>
      <c r="EJ53" s="24"/>
      <c r="EK53" s="23" t="str">
        <f t="shared" si="29"/>
        <v/>
      </c>
      <c r="EL53" s="24"/>
      <c r="EM53" s="24"/>
      <c r="EN53" s="24"/>
      <c r="EO53" s="24"/>
      <c r="EP53" s="24"/>
      <c r="EQ53" s="24"/>
      <c r="ER53" s="24"/>
      <c r="ES53" s="24"/>
      <c r="ET53" s="24"/>
      <c r="EU53" s="24"/>
      <c r="EV53" s="23" t="str">
        <f t="shared" si="30"/>
        <v/>
      </c>
      <c r="EW53" s="24"/>
      <c r="EX53" s="24"/>
      <c r="EY53" s="24"/>
      <c r="EZ53" s="24"/>
      <c r="FA53" s="24"/>
      <c r="FB53" s="24"/>
      <c r="FC53" s="24"/>
      <c r="FD53" s="24"/>
      <c r="FE53" s="24"/>
      <c r="FF53" s="24"/>
      <c r="FG53" s="23" t="str">
        <f t="shared" si="31"/>
        <v/>
      </c>
      <c r="FH53" s="24"/>
      <c r="FI53" s="24"/>
      <c r="FJ53" s="24"/>
      <c r="FK53" s="24"/>
      <c r="FL53" s="24"/>
      <c r="FM53" s="24"/>
      <c r="FN53" s="24"/>
      <c r="FO53" s="24"/>
      <c r="FP53" s="24"/>
      <c r="FQ53" s="24"/>
    </row>
    <row r="54" spans="1:173" x14ac:dyDescent="0.25">
      <c r="A54">
        <v>4160</v>
      </c>
      <c r="B54" t="str">
        <f t="shared" si="16"/>
        <v>WHSU5060380|WHLC100GX11533</v>
      </c>
      <c r="C54" s="24">
        <v>46224.391122685185</v>
      </c>
      <c r="E54" t="s">
        <v>600</v>
      </c>
      <c r="F54" t="s">
        <v>434</v>
      </c>
      <c r="G54" t="s">
        <v>601</v>
      </c>
      <c r="H54" t="s">
        <v>595</v>
      </c>
      <c r="I54" s="22" t="str">
        <f t="shared" si="17"/>
        <v/>
      </c>
      <c r="J54" t="s">
        <v>595</v>
      </c>
      <c r="K54" t="s">
        <v>595</v>
      </c>
      <c r="L54" t="s">
        <v>117</v>
      </c>
      <c r="M54" t="s">
        <v>117</v>
      </c>
      <c r="N54" t="s">
        <v>595</v>
      </c>
      <c r="O54" t="s">
        <v>117</v>
      </c>
      <c r="P54" t="s">
        <v>117</v>
      </c>
      <c r="Q54" t="s">
        <v>117</v>
      </c>
      <c r="R54" t="s">
        <v>595</v>
      </c>
      <c r="S54" t="s">
        <v>117</v>
      </c>
      <c r="T54" s="22" t="str">
        <f t="shared" si="18"/>
        <v/>
      </c>
      <c r="U54" t="s">
        <v>596</v>
      </c>
      <c r="V54" t="s">
        <v>596</v>
      </c>
      <c r="X54" t="s">
        <v>117</v>
      </c>
      <c r="Y54" t="s">
        <v>596</v>
      </c>
      <c r="AA54" t="s">
        <v>117</v>
      </c>
      <c r="AB54" t="s">
        <v>117</v>
      </c>
      <c r="AC54" t="s">
        <v>596</v>
      </c>
      <c r="AE54" s="23" t="str">
        <f t="shared" si="19"/>
        <v/>
      </c>
      <c r="AF54" s="24">
        <v>46228</v>
      </c>
      <c r="AG54" s="24">
        <v>46228</v>
      </c>
      <c r="AH54" s="24"/>
      <c r="AI54" s="24"/>
      <c r="AJ54" s="24">
        <v>46229.068749999999</v>
      </c>
      <c r="AK54" s="24"/>
      <c r="AL54" s="24"/>
      <c r="AM54" s="24"/>
      <c r="AN54" s="24">
        <v>46228</v>
      </c>
      <c r="AO54" s="24"/>
      <c r="AP54" s="23">
        <f t="shared" si="20"/>
        <v>46253</v>
      </c>
      <c r="AQ54" s="24">
        <v>46254</v>
      </c>
      <c r="AR54" s="24">
        <v>46253</v>
      </c>
      <c r="AS54" s="24"/>
      <c r="AT54" s="24"/>
      <c r="AU54" s="24">
        <v>46253.75</v>
      </c>
      <c r="AV54" s="24"/>
      <c r="AW54" s="24"/>
      <c r="AX54" s="24"/>
      <c r="AY54" s="24">
        <v>46254</v>
      </c>
      <c r="AZ54" s="24"/>
      <c r="BA54" s="23" t="str">
        <f t="shared" si="21"/>
        <v/>
      </c>
      <c r="BB54" s="24"/>
      <c r="BC54" s="24"/>
      <c r="BD54" s="24"/>
      <c r="BE54" s="24"/>
      <c r="BF54" s="24"/>
      <c r="BG54" s="24"/>
      <c r="BH54" s="24"/>
      <c r="BI54" s="24"/>
      <c r="BJ54" s="24"/>
      <c r="BK54" s="24"/>
      <c r="BL54" s="23">
        <f t="shared" si="22"/>
        <v>46253</v>
      </c>
      <c r="BM54" s="24">
        <v>46254</v>
      </c>
      <c r="BN54" s="24">
        <v>46253</v>
      </c>
      <c r="BO54" s="24"/>
      <c r="BP54" s="24"/>
      <c r="BQ54" s="24"/>
      <c r="BR54" s="24"/>
      <c r="BS54" s="24"/>
      <c r="BT54" s="24"/>
      <c r="BU54" s="24">
        <v>46254</v>
      </c>
      <c r="BV54" s="24"/>
      <c r="BW54" s="23" t="str">
        <f t="shared" si="23"/>
        <v/>
      </c>
      <c r="BX54" s="24"/>
      <c r="BY54" s="24"/>
      <c r="BZ54" s="24"/>
      <c r="CA54" s="24"/>
      <c r="CB54" s="24"/>
      <c r="CC54" s="24"/>
      <c r="CD54" s="24"/>
      <c r="CE54" s="24"/>
      <c r="CF54" s="24"/>
      <c r="CG54" s="24"/>
      <c r="CH54" s="23" t="str">
        <f t="shared" si="24"/>
        <v/>
      </c>
      <c r="CI54" s="24"/>
      <c r="CJ54" s="24"/>
      <c r="CK54" s="24"/>
      <c r="CL54" s="24"/>
      <c r="CM54" s="24"/>
      <c r="CN54" s="24"/>
      <c r="CO54" s="24"/>
      <c r="CP54" s="24"/>
      <c r="CQ54" s="24"/>
      <c r="CR54" s="24"/>
      <c r="CS54" s="23">
        <f t="shared" si="25"/>
        <v>46258</v>
      </c>
      <c r="CT54" s="24">
        <v>46259</v>
      </c>
      <c r="CU54" s="24">
        <v>46258</v>
      </c>
      <c r="CV54" s="24"/>
      <c r="CW54" s="24"/>
      <c r="CX54" s="24"/>
      <c r="CY54" s="24"/>
      <c r="CZ54" s="24"/>
      <c r="DA54" s="24"/>
      <c r="DB54" s="24"/>
      <c r="DC54" s="24"/>
      <c r="DD54" s="23" t="str">
        <f t="shared" si="26"/>
        <v/>
      </c>
      <c r="DE54" s="24"/>
      <c r="DF54" s="24"/>
      <c r="DG54" s="24"/>
      <c r="DH54" s="24"/>
      <c r="DI54" s="24"/>
      <c r="DJ54" s="24"/>
      <c r="DK54" s="24"/>
      <c r="DL54" s="24"/>
      <c r="DM54" s="24"/>
      <c r="DN54" s="24"/>
      <c r="DO54" s="22" t="str">
        <f t="shared" si="27"/>
        <v/>
      </c>
      <c r="DR54" t="s">
        <v>117</v>
      </c>
      <c r="DZ54" s="23" t="str">
        <f t="shared" si="28"/>
        <v/>
      </c>
      <c r="EA54" s="24"/>
      <c r="EB54" s="24"/>
      <c r="EC54" s="24"/>
      <c r="ED54" s="24"/>
      <c r="EE54" s="24"/>
      <c r="EF54" s="24"/>
      <c r="EG54" s="24"/>
      <c r="EH54" s="24"/>
      <c r="EI54" s="24"/>
      <c r="EJ54" s="24"/>
      <c r="EK54" s="23" t="str">
        <f t="shared" si="29"/>
        <v/>
      </c>
      <c r="EL54" s="24"/>
      <c r="EM54" s="24"/>
      <c r="EN54" s="24"/>
      <c r="EO54" s="24"/>
      <c r="EP54" s="24"/>
      <c r="EQ54" s="24"/>
      <c r="ER54" s="24"/>
      <c r="ES54" s="24"/>
      <c r="ET54" s="24"/>
      <c r="EU54" s="24"/>
      <c r="EV54" s="23" t="str">
        <f t="shared" si="30"/>
        <v/>
      </c>
      <c r="EW54" s="24"/>
      <c r="EX54" s="24"/>
      <c r="EY54" s="24"/>
      <c r="EZ54" s="24"/>
      <c r="FA54" s="24"/>
      <c r="FB54" s="24"/>
      <c r="FC54" s="24"/>
      <c r="FD54" s="24"/>
      <c r="FE54" s="24"/>
      <c r="FF54" s="24"/>
      <c r="FG54" s="23" t="str">
        <f t="shared" si="31"/>
        <v/>
      </c>
      <c r="FH54" s="24"/>
      <c r="FI54" s="24"/>
      <c r="FJ54" s="24"/>
      <c r="FK54" s="24"/>
      <c r="FL54" s="24"/>
      <c r="FM54" s="24"/>
      <c r="FN54" s="24"/>
      <c r="FO54" s="24"/>
      <c r="FP54" s="24"/>
      <c r="FQ54" s="24"/>
    </row>
    <row r="55" spans="1:173" x14ac:dyDescent="0.25">
      <c r="A55">
        <v>4161</v>
      </c>
      <c r="B55" t="str">
        <f t="shared" si="16"/>
        <v>WHLU5784797|WHLC100GX11546</v>
      </c>
      <c r="C55" s="24">
        <v>46224.394976851851</v>
      </c>
      <c r="E55" t="s">
        <v>602</v>
      </c>
      <c r="F55" t="s">
        <v>434</v>
      </c>
      <c r="G55" t="s">
        <v>603</v>
      </c>
      <c r="H55" t="s">
        <v>604</v>
      </c>
      <c r="I55" s="22" t="str">
        <f t="shared" si="17"/>
        <v/>
      </c>
      <c r="J55" t="s">
        <v>604</v>
      </c>
      <c r="K55" t="s">
        <v>604</v>
      </c>
      <c r="L55" t="s">
        <v>117</v>
      </c>
      <c r="M55" t="s">
        <v>117</v>
      </c>
      <c r="N55" t="s">
        <v>604</v>
      </c>
      <c r="O55" t="s">
        <v>117</v>
      </c>
      <c r="P55" t="s">
        <v>117</v>
      </c>
      <c r="Q55" t="s">
        <v>117</v>
      </c>
      <c r="R55" t="s">
        <v>604</v>
      </c>
      <c r="S55" t="s">
        <v>117</v>
      </c>
      <c r="T55" s="22" t="str">
        <f t="shared" si="18"/>
        <v/>
      </c>
      <c r="U55" t="s">
        <v>513</v>
      </c>
      <c r="V55" t="s">
        <v>513</v>
      </c>
      <c r="X55" t="s">
        <v>117</v>
      </c>
      <c r="Y55" t="s">
        <v>513</v>
      </c>
      <c r="AA55" t="s">
        <v>117</v>
      </c>
      <c r="AB55" t="s">
        <v>117</v>
      </c>
      <c r="AC55" t="s">
        <v>513</v>
      </c>
      <c r="AE55" s="23" t="str">
        <f t="shared" si="19"/>
        <v/>
      </c>
      <c r="AF55" s="24">
        <v>46223</v>
      </c>
      <c r="AG55" s="24">
        <v>46223</v>
      </c>
      <c r="AH55" s="24"/>
      <c r="AI55" s="24"/>
      <c r="AJ55" s="24">
        <v>46223.831944444442</v>
      </c>
      <c r="AK55" s="24"/>
      <c r="AL55" s="24"/>
      <c r="AM55" s="24"/>
      <c r="AN55" s="24">
        <v>46223</v>
      </c>
      <c r="AO55" s="24"/>
      <c r="AP55" s="23" t="str">
        <f t="shared" si="20"/>
        <v/>
      </c>
      <c r="AQ55" s="24">
        <v>46249</v>
      </c>
      <c r="AR55" s="24">
        <v>46249</v>
      </c>
      <c r="AS55" s="24"/>
      <c r="AT55" s="24"/>
      <c r="AU55" s="24">
        <v>46249.5625</v>
      </c>
      <c r="AV55" s="24"/>
      <c r="AW55" s="24"/>
      <c r="AX55" s="24"/>
      <c r="AY55" s="24">
        <v>46248</v>
      </c>
      <c r="AZ55" s="24"/>
      <c r="BA55" s="23" t="str">
        <f t="shared" si="21"/>
        <v/>
      </c>
      <c r="BB55" s="24"/>
      <c r="BC55" s="24"/>
      <c r="BD55" s="24"/>
      <c r="BE55" s="24"/>
      <c r="BF55" s="24"/>
      <c r="BG55" s="24"/>
      <c r="BH55" s="24"/>
      <c r="BI55" s="24"/>
      <c r="BJ55" s="24"/>
      <c r="BK55" s="24"/>
      <c r="BL55" s="23" t="str">
        <f t="shared" si="22"/>
        <v/>
      </c>
      <c r="BM55" s="24">
        <v>46249</v>
      </c>
      <c r="BN55" s="24">
        <v>46249</v>
      </c>
      <c r="BO55" s="24"/>
      <c r="BP55" s="24"/>
      <c r="BQ55" s="24"/>
      <c r="BR55" s="24"/>
      <c r="BS55" s="24"/>
      <c r="BT55" s="24"/>
      <c r="BU55" s="24">
        <v>46248</v>
      </c>
      <c r="BV55" s="24"/>
      <c r="BW55" s="23" t="str">
        <f t="shared" si="23"/>
        <v/>
      </c>
      <c r="BX55" s="24"/>
      <c r="BY55" s="24"/>
      <c r="BZ55" s="24"/>
      <c r="CA55" s="24"/>
      <c r="CB55" s="24"/>
      <c r="CC55" s="24"/>
      <c r="CD55" s="24"/>
      <c r="CE55" s="24"/>
      <c r="CF55" s="24"/>
      <c r="CG55" s="24"/>
      <c r="CH55" s="23" t="str">
        <f t="shared" si="24"/>
        <v/>
      </c>
      <c r="CI55" s="24"/>
      <c r="CJ55" s="24"/>
      <c r="CK55" s="24"/>
      <c r="CL55" s="24"/>
      <c r="CM55" s="24"/>
      <c r="CN55" s="24"/>
      <c r="CO55" s="24"/>
      <c r="CP55" s="24"/>
      <c r="CQ55" s="24"/>
      <c r="CR55" s="24"/>
      <c r="CS55" s="23">
        <f t="shared" si="25"/>
        <v>46254</v>
      </c>
      <c r="CT55" s="24">
        <v>46254</v>
      </c>
      <c r="CU55" s="24">
        <v>46254</v>
      </c>
      <c r="CV55" s="24"/>
      <c r="CW55" s="24"/>
      <c r="CX55" s="24"/>
      <c r="CY55" s="24"/>
      <c r="CZ55" s="24"/>
      <c r="DA55" s="24"/>
      <c r="DB55" s="24"/>
      <c r="DC55" s="24"/>
      <c r="DD55" s="23" t="str">
        <f t="shared" si="26"/>
        <v/>
      </c>
      <c r="DE55" s="24"/>
      <c r="DF55" s="24"/>
      <c r="DG55" s="24"/>
      <c r="DH55" s="24"/>
      <c r="DI55" s="24"/>
      <c r="DJ55" s="24"/>
      <c r="DK55" s="24"/>
      <c r="DL55" s="24"/>
      <c r="DM55" s="24"/>
      <c r="DN55" s="24"/>
      <c r="DO55" s="22" t="str">
        <f t="shared" si="27"/>
        <v/>
      </c>
      <c r="DR55" t="s">
        <v>117</v>
      </c>
      <c r="DZ55" s="23" t="str">
        <f t="shared" si="28"/>
        <v/>
      </c>
      <c r="EA55" s="24"/>
      <c r="EB55" s="24"/>
      <c r="EC55" s="24"/>
      <c r="ED55" s="24"/>
      <c r="EE55" s="24"/>
      <c r="EF55" s="24"/>
      <c r="EG55" s="24"/>
      <c r="EH55" s="24"/>
      <c r="EI55" s="24"/>
      <c r="EJ55" s="24"/>
      <c r="EK55" s="23" t="str">
        <f t="shared" si="29"/>
        <v/>
      </c>
      <c r="EL55" s="24"/>
      <c r="EM55" s="24"/>
      <c r="EN55" s="24"/>
      <c r="EO55" s="24"/>
      <c r="EP55" s="24"/>
      <c r="EQ55" s="24"/>
      <c r="ER55" s="24"/>
      <c r="ES55" s="24"/>
      <c r="ET55" s="24"/>
      <c r="EU55" s="24"/>
      <c r="EV55" s="23" t="str">
        <f t="shared" si="30"/>
        <v/>
      </c>
      <c r="EW55" s="24"/>
      <c r="EX55" s="24"/>
      <c r="EY55" s="24"/>
      <c r="EZ55" s="24"/>
      <c r="FA55" s="24"/>
      <c r="FB55" s="24"/>
      <c r="FC55" s="24"/>
      <c r="FD55" s="24"/>
      <c r="FE55" s="24"/>
      <c r="FF55" s="24"/>
      <c r="FG55" s="23" t="str">
        <f t="shared" si="31"/>
        <v/>
      </c>
      <c r="FH55" s="24"/>
      <c r="FI55" s="24"/>
      <c r="FJ55" s="24"/>
      <c r="FK55" s="24"/>
      <c r="FL55" s="24"/>
      <c r="FM55" s="24"/>
      <c r="FN55" s="24"/>
      <c r="FO55" s="24"/>
      <c r="FP55" s="24"/>
      <c r="FQ55" s="24"/>
    </row>
    <row r="56" spans="1:173" x14ac:dyDescent="0.25">
      <c r="A56">
        <v>4162</v>
      </c>
      <c r="B56" t="str">
        <f t="shared" si="16"/>
        <v>WHSU6616582|WHLC100GX11532</v>
      </c>
      <c r="C56" s="24">
        <v>46224.398796296293</v>
      </c>
      <c r="E56" t="s">
        <v>605</v>
      </c>
      <c r="F56" t="s">
        <v>434</v>
      </c>
      <c r="G56" t="s">
        <v>606</v>
      </c>
      <c r="H56" t="s">
        <v>607</v>
      </c>
      <c r="I56" s="22" t="str">
        <f t="shared" si="17"/>
        <v/>
      </c>
      <c r="J56" t="s">
        <v>607</v>
      </c>
      <c r="K56" t="s">
        <v>607</v>
      </c>
      <c r="L56" t="s">
        <v>117</v>
      </c>
      <c r="M56" t="s">
        <v>117</v>
      </c>
      <c r="N56" t="s">
        <v>607</v>
      </c>
      <c r="O56" t="s">
        <v>117</v>
      </c>
      <c r="P56" t="s">
        <v>117</v>
      </c>
      <c r="Q56" t="s">
        <v>117</v>
      </c>
      <c r="R56" t="s">
        <v>607</v>
      </c>
      <c r="S56" t="s">
        <v>117</v>
      </c>
      <c r="T56" s="22" t="str">
        <f t="shared" si="18"/>
        <v/>
      </c>
      <c r="U56" t="s">
        <v>596</v>
      </c>
      <c r="V56" t="s">
        <v>596</v>
      </c>
      <c r="X56" t="s">
        <v>117</v>
      </c>
      <c r="Y56" t="s">
        <v>596</v>
      </c>
      <c r="AA56" t="s">
        <v>117</v>
      </c>
      <c r="AB56" t="s">
        <v>117</v>
      </c>
      <c r="AC56" t="s">
        <v>596</v>
      </c>
      <c r="AE56" s="23" t="str">
        <f t="shared" si="19"/>
        <v/>
      </c>
      <c r="AF56" s="24">
        <v>46228</v>
      </c>
      <c r="AG56" s="24">
        <v>46228</v>
      </c>
      <c r="AH56" s="24"/>
      <c r="AI56" s="24"/>
      <c r="AJ56" s="24">
        <v>46229.068749999999</v>
      </c>
      <c r="AK56" s="24"/>
      <c r="AL56" s="24"/>
      <c r="AM56" s="24"/>
      <c r="AN56" s="24">
        <v>46228</v>
      </c>
      <c r="AO56" s="24"/>
      <c r="AP56" s="23">
        <f t="shared" si="20"/>
        <v>46253</v>
      </c>
      <c r="AQ56" s="24">
        <v>46254</v>
      </c>
      <c r="AR56" s="24">
        <v>46253</v>
      </c>
      <c r="AS56" s="24"/>
      <c r="AT56" s="24"/>
      <c r="AU56" s="24">
        <v>46253.75</v>
      </c>
      <c r="AV56" s="24"/>
      <c r="AW56" s="24"/>
      <c r="AX56" s="24"/>
      <c r="AY56" s="24">
        <v>46254</v>
      </c>
      <c r="AZ56" s="24"/>
      <c r="BA56" s="23" t="str">
        <f t="shared" si="21"/>
        <v/>
      </c>
      <c r="BB56" s="24"/>
      <c r="BC56" s="24"/>
      <c r="BD56" s="24"/>
      <c r="BE56" s="24"/>
      <c r="BF56" s="24"/>
      <c r="BG56" s="24"/>
      <c r="BH56" s="24"/>
      <c r="BI56" s="24"/>
      <c r="BJ56" s="24"/>
      <c r="BK56" s="24"/>
      <c r="BL56" s="23">
        <f t="shared" si="22"/>
        <v>46253</v>
      </c>
      <c r="BM56" s="24">
        <v>46254</v>
      </c>
      <c r="BN56" s="24">
        <v>46253</v>
      </c>
      <c r="BO56" s="24"/>
      <c r="BP56" s="24"/>
      <c r="BQ56" s="24"/>
      <c r="BR56" s="24"/>
      <c r="BS56" s="24"/>
      <c r="BT56" s="24"/>
      <c r="BU56" s="24">
        <v>46254</v>
      </c>
      <c r="BV56" s="24"/>
      <c r="BW56" s="23" t="str">
        <f t="shared" si="23"/>
        <v/>
      </c>
      <c r="BX56" s="24"/>
      <c r="BY56" s="24"/>
      <c r="BZ56" s="24"/>
      <c r="CA56" s="24"/>
      <c r="CB56" s="24"/>
      <c r="CC56" s="24"/>
      <c r="CD56" s="24"/>
      <c r="CE56" s="24"/>
      <c r="CF56" s="24"/>
      <c r="CG56" s="24"/>
      <c r="CH56" s="23" t="str">
        <f t="shared" si="24"/>
        <v/>
      </c>
      <c r="CI56" s="24"/>
      <c r="CJ56" s="24"/>
      <c r="CK56" s="24"/>
      <c r="CL56" s="24"/>
      <c r="CM56" s="24"/>
      <c r="CN56" s="24"/>
      <c r="CO56" s="24"/>
      <c r="CP56" s="24"/>
      <c r="CQ56" s="24"/>
      <c r="CR56" s="24"/>
      <c r="CS56" s="23">
        <f t="shared" si="25"/>
        <v>46258</v>
      </c>
      <c r="CT56" s="24">
        <v>46259</v>
      </c>
      <c r="CU56" s="24">
        <v>46258</v>
      </c>
      <c r="CV56" s="24"/>
      <c r="CW56" s="24"/>
      <c r="CX56" s="24"/>
      <c r="CY56" s="24"/>
      <c r="CZ56" s="24"/>
      <c r="DA56" s="24"/>
      <c r="DB56" s="24"/>
      <c r="DC56" s="24"/>
      <c r="DD56" s="23" t="str">
        <f t="shared" si="26"/>
        <v/>
      </c>
      <c r="DE56" s="24"/>
      <c r="DF56" s="24"/>
      <c r="DG56" s="24"/>
      <c r="DH56" s="24"/>
      <c r="DI56" s="24"/>
      <c r="DJ56" s="24"/>
      <c r="DK56" s="24"/>
      <c r="DL56" s="24"/>
      <c r="DM56" s="24"/>
      <c r="DN56" s="24"/>
      <c r="DO56" s="22" t="str">
        <f t="shared" si="27"/>
        <v/>
      </c>
      <c r="DR56" t="s">
        <v>117</v>
      </c>
      <c r="DZ56" s="23" t="str">
        <f t="shared" si="28"/>
        <v/>
      </c>
      <c r="EA56" s="24"/>
      <c r="EB56" s="24"/>
      <c r="EC56" s="24"/>
      <c r="ED56" s="24"/>
      <c r="EE56" s="24"/>
      <c r="EF56" s="24"/>
      <c r="EG56" s="24"/>
      <c r="EH56" s="24"/>
      <c r="EI56" s="24"/>
      <c r="EJ56" s="24"/>
      <c r="EK56" s="23" t="str">
        <f t="shared" si="29"/>
        <v/>
      </c>
      <c r="EL56" s="24"/>
      <c r="EM56" s="24"/>
      <c r="EN56" s="24"/>
      <c r="EO56" s="24"/>
      <c r="EP56" s="24"/>
      <c r="EQ56" s="24"/>
      <c r="ER56" s="24"/>
      <c r="ES56" s="24"/>
      <c r="ET56" s="24"/>
      <c r="EU56" s="24"/>
      <c r="EV56" s="23" t="str">
        <f t="shared" si="30"/>
        <v/>
      </c>
      <c r="EW56" s="24"/>
      <c r="EX56" s="24"/>
      <c r="EY56" s="24"/>
      <c r="EZ56" s="24"/>
      <c r="FA56" s="24"/>
      <c r="FB56" s="24"/>
      <c r="FC56" s="24"/>
      <c r="FD56" s="24"/>
      <c r="FE56" s="24"/>
      <c r="FF56" s="24"/>
      <c r="FG56" s="23" t="str">
        <f t="shared" si="31"/>
        <v/>
      </c>
      <c r="FH56" s="24"/>
      <c r="FI56" s="24"/>
      <c r="FJ56" s="24"/>
      <c r="FK56" s="24"/>
      <c r="FL56" s="24"/>
      <c r="FM56" s="24"/>
      <c r="FN56" s="24"/>
      <c r="FO56" s="24"/>
      <c r="FP56" s="24"/>
      <c r="FQ56" s="24"/>
    </row>
    <row r="57" spans="1:173" x14ac:dyDescent="0.25">
      <c r="A57">
        <v>4163</v>
      </c>
      <c r="B57" t="str">
        <f t="shared" si="16"/>
        <v>WHSU8495725|WHLC100GX11682</v>
      </c>
      <c r="C57" s="24">
        <v>46224.402083333334</v>
      </c>
      <c r="E57" t="s">
        <v>608</v>
      </c>
      <c r="F57" t="s">
        <v>434</v>
      </c>
      <c r="G57" t="s">
        <v>609</v>
      </c>
      <c r="H57" t="s">
        <v>610</v>
      </c>
      <c r="I57" s="22" t="str">
        <f t="shared" si="17"/>
        <v/>
      </c>
      <c r="J57" t="s">
        <v>610</v>
      </c>
      <c r="K57" t="s">
        <v>610</v>
      </c>
      <c r="L57" t="s">
        <v>117</v>
      </c>
      <c r="M57" t="s">
        <v>117</v>
      </c>
      <c r="N57" t="s">
        <v>610</v>
      </c>
      <c r="O57" t="s">
        <v>117</v>
      </c>
      <c r="P57" t="s">
        <v>117</v>
      </c>
      <c r="Q57" t="s">
        <v>117</v>
      </c>
      <c r="R57" t="s">
        <v>610</v>
      </c>
      <c r="S57" t="s">
        <v>117</v>
      </c>
      <c r="T57" s="22" t="str">
        <f t="shared" si="18"/>
        <v/>
      </c>
      <c r="U57" t="s">
        <v>596</v>
      </c>
      <c r="V57" t="s">
        <v>596</v>
      </c>
      <c r="X57" t="s">
        <v>117</v>
      </c>
      <c r="Y57" t="s">
        <v>596</v>
      </c>
      <c r="AA57" t="s">
        <v>117</v>
      </c>
      <c r="AB57" t="s">
        <v>117</v>
      </c>
      <c r="AC57" t="s">
        <v>596</v>
      </c>
      <c r="AE57" s="23" t="str">
        <f t="shared" si="19"/>
        <v/>
      </c>
      <c r="AF57" s="24">
        <v>46228</v>
      </c>
      <c r="AG57" s="24">
        <v>46228</v>
      </c>
      <c r="AH57" s="24"/>
      <c r="AI57" s="24"/>
      <c r="AJ57" s="24">
        <v>46229.068749999999</v>
      </c>
      <c r="AK57" s="24"/>
      <c r="AL57" s="24"/>
      <c r="AM57" s="24"/>
      <c r="AN57" s="24">
        <v>46228</v>
      </c>
      <c r="AO57" s="24"/>
      <c r="AP57" s="23">
        <f t="shared" si="20"/>
        <v>46253</v>
      </c>
      <c r="AQ57" s="24">
        <v>46254</v>
      </c>
      <c r="AR57" s="24">
        <v>46253</v>
      </c>
      <c r="AS57" s="24"/>
      <c r="AT57" s="24"/>
      <c r="AU57" s="24">
        <v>46253.75</v>
      </c>
      <c r="AV57" s="24"/>
      <c r="AW57" s="24"/>
      <c r="AX57" s="24"/>
      <c r="AY57" s="24">
        <v>46254</v>
      </c>
      <c r="AZ57" s="24"/>
      <c r="BA57" s="23" t="str">
        <f t="shared" si="21"/>
        <v/>
      </c>
      <c r="BB57" s="24"/>
      <c r="BC57" s="24"/>
      <c r="BD57" s="24"/>
      <c r="BE57" s="24"/>
      <c r="BF57" s="24"/>
      <c r="BG57" s="24"/>
      <c r="BH57" s="24"/>
      <c r="BI57" s="24"/>
      <c r="BJ57" s="24"/>
      <c r="BK57" s="24"/>
      <c r="BL57" s="23">
        <f t="shared" si="22"/>
        <v>46253</v>
      </c>
      <c r="BM57" s="24">
        <v>46254</v>
      </c>
      <c r="BN57" s="24">
        <v>46253</v>
      </c>
      <c r="BO57" s="24"/>
      <c r="BP57" s="24"/>
      <c r="BQ57" s="24"/>
      <c r="BR57" s="24"/>
      <c r="BS57" s="24"/>
      <c r="BT57" s="24"/>
      <c r="BU57" s="24">
        <v>46254</v>
      </c>
      <c r="BV57" s="24"/>
      <c r="BW57" s="23" t="str">
        <f t="shared" si="23"/>
        <v/>
      </c>
      <c r="BX57" s="24"/>
      <c r="BY57" s="24"/>
      <c r="BZ57" s="24"/>
      <c r="CA57" s="24"/>
      <c r="CB57" s="24"/>
      <c r="CC57" s="24"/>
      <c r="CD57" s="24"/>
      <c r="CE57" s="24"/>
      <c r="CF57" s="24"/>
      <c r="CG57" s="24"/>
      <c r="CH57" s="23" t="str">
        <f t="shared" si="24"/>
        <v/>
      </c>
      <c r="CI57" s="24"/>
      <c r="CJ57" s="24"/>
      <c r="CK57" s="24"/>
      <c r="CL57" s="24"/>
      <c r="CM57" s="24"/>
      <c r="CN57" s="24"/>
      <c r="CO57" s="24"/>
      <c r="CP57" s="24"/>
      <c r="CQ57" s="24"/>
      <c r="CR57" s="24"/>
      <c r="CS57" s="23">
        <f t="shared" si="25"/>
        <v>46258</v>
      </c>
      <c r="CT57" s="24">
        <v>46259</v>
      </c>
      <c r="CU57" s="24">
        <v>46258</v>
      </c>
      <c r="CV57" s="24"/>
      <c r="CW57" s="24"/>
      <c r="CX57" s="24"/>
      <c r="CY57" s="24"/>
      <c r="CZ57" s="24"/>
      <c r="DA57" s="24"/>
      <c r="DB57" s="24"/>
      <c r="DC57" s="24"/>
      <c r="DD57" s="23" t="str">
        <f t="shared" si="26"/>
        <v/>
      </c>
      <c r="DE57" s="24"/>
      <c r="DF57" s="24"/>
      <c r="DG57" s="24"/>
      <c r="DH57" s="24"/>
      <c r="DI57" s="24"/>
      <c r="DJ57" s="24"/>
      <c r="DK57" s="24"/>
      <c r="DL57" s="24"/>
      <c r="DM57" s="24"/>
      <c r="DN57" s="24"/>
      <c r="DO57" s="22" t="str">
        <f t="shared" si="27"/>
        <v/>
      </c>
      <c r="DR57" t="s">
        <v>117</v>
      </c>
      <c r="DZ57" s="23" t="str">
        <f t="shared" si="28"/>
        <v/>
      </c>
      <c r="EA57" s="24"/>
      <c r="EB57" s="24"/>
      <c r="EC57" s="24"/>
      <c r="ED57" s="24"/>
      <c r="EE57" s="24"/>
      <c r="EF57" s="24"/>
      <c r="EG57" s="24"/>
      <c r="EH57" s="24"/>
      <c r="EI57" s="24"/>
      <c r="EJ57" s="24"/>
      <c r="EK57" s="23" t="str">
        <f t="shared" si="29"/>
        <v/>
      </c>
      <c r="EL57" s="24"/>
      <c r="EM57" s="24"/>
      <c r="EN57" s="24"/>
      <c r="EO57" s="24"/>
      <c r="EP57" s="24"/>
      <c r="EQ57" s="24"/>
      <c r="ER57" s="24"/>
      <c r="ES57" s="24"/>
      <c r="ET57" s="24"/>
      <c r="EU57" s="24"/>
      <c r="EV57" s="23" t="str">
        <f t="shared" si="30"/>
        <v/>
      </c>
      <c r="EW57" s="24"/>
      <c r="EX57" s="24"/>
      <c r="EY57" s="24"/>
      <c r="EZ57" s="24"/>
      <c r="FA57" s="24"/>
      <c r="FB57" s="24"/>
      <c r="FC57" s="24"/>
      <c r="FD57" s="24"/>
      <c r="FE57" s="24"/>
      <c r="FF57" s="24"/>
      <c r="FG57" s="23" t="str">
        <f t="shared" si="31"/>
        <v/>
      </c>
      <c r="FH57" s="24"/>
      <c r="FI57" s="24"/>
      <c r="FJ57" s="24"/>
      <c r="FK57" s="24"/>
      <c r="FL57" s="24"/>
      <c r="FM57" s="24"/>
      <c r="FN57" s="24"/>
      <c r="FO57" s="24"/>
      <c r="FP57" s="24"/>
      <c r="FQ57" s="24"/>
    </row>
    <row r="58" spans="1:173" x14ac:dyDescent="0.25">
      <c r="A58">
        <v>4164</v>
      </c>
      <c r="B58" t="str">
        <f t="shared" si="16"/>
        <v>WHSU6046880|WHLC100GX11532</v>
      </c>
      <c r="C58" s="24">
        <v>46224.403726851851</v>
      </c>
      <c r="E58" t="s">
        <v>611</v>
      </c>
      <c r="F58" t="s">
        <v>434</v>
      </c>
      <c r="G58" t="s">
        <v>612</v>
      </c>
      <c r="H58" t="s">
        <v>607</v>
      </c>
      <c r="I58" s="22" t="str">
        <f t="shared" si="17"/>
        <v/>
      </c>
      <c r="J58" t="s">
        <v>607</v>
      </c>
      <c r="K58" t="s">
        <v>607</v>
      </c>
      <c r="L58" t="s">
        <v>117</v>
      </c>
      <c r="M58" t="s">
        <v>117</v>
      </c>
      <c r="N58" t="s">
        <v>607</v>
      </c>
      <c r="O58" t="s">
        <v>117</v>
      </c>
      <c r="P58" t="s">
        <v>117</v>
      </c>
      <c r="Q58" t="s">
        <v>117</v>
      </c>
      <c r="R58" t="s">
        <v>607</v>
      </c>
      <c r="S58" t="s">
        <v>117</v>
      </c>
      <c r="T58" s="22" t="str">
        <f t="shared" si="18"/>
        <v/>
      </c>
      <c r="U58" t="s">
        <v>596</v>
      </c>
      <c r="V58" t="s">
        <v>596</v>
      </c>
      <c r="X58" t="s">
        <v>117</v>
      </c>
      <c r="Y58" t="s">
        <v>596</v>
      </c>
      <c r="AA58" t="s">
        <v>117</v>
      </c>
      <c r="AB58" t="s">
        <v>117</v>
      </c>
      <c r="AC58" t="s">
        <v>596</v>
      </c>
      <c r="AE58" s="23" t="str">
        <f t="shared" si="19"/>
        <v/>
      </c>
      <c r="AF58" s="24">
        <v>46228</v>
      </c>
      <c r="AG58" s="24">
        <v>46228</v>
      </c>
      <c r="AH58" s="24"/>
      <c r="AI58" s="24"/>
      <c r="AJ58" s="24">
        <v>46229.068749999999</v>
      </c>
      <c r="AK58" s="24"/>
      <c r="AL58" s="24"/>
      <c r="AM58" s="24"/>
      <c r="AN58" s="24">
        <v>46228</v>
      </c>
      <c r="AO58" s="24"/>
      <c r="AP58" s="23">
        <f t="shared" si="20"/>
        <v>46253</v>
      </c>
      <c r="AQ58" s="24">
        <v>46254</v>
      </c>
      <c r="AR58" s="24">
        <v>46253</v>
      </c>
      <c r="AS58" s="24"/>
      <c r="AT58" s="24"/>
      <c r="AU58" s="24">
        <v>46253.75</v>
      </c>
      <c r="AV58" s="24"/>
      <c r="AW58" s="24"/>
      <c r="AX58" s="24"/>
      <c r="AY58" s="24">
        <v>46254</v>
      </c>
      <c r="AZ58" s="24"/>
      <c r="BA58" s="23" t="str">
        <f t="shared" si="21"/>
        <v/>
      </c>
      <c r="BB58" s="24"/>
      <c r="BC58" s="24"/>
      <c r="BD58" s="24"/>
      <c r="BE58" s="24"/>
      <c r="BF58" s="24"/>
      <c r="BG58" s="24"/>
      <c r="BH58" s="24"/>
      <c r="BI58" s="24"/>
      <c r="BJ58" s="24"/>
      <c r="BK58" s="24"/>
      <c r="BL58" s="23">
        <f t="shared" si="22"/>
        <v>46253</v>
      </c>
      <c r="BM58" s="24">
        <v>46254</v>
      </c>
      <c r="BN58" s="24">
        <v>46253</v>
      </c>
      <c r="BO58" s="24"/>
      <c r="BP58" s="24"/>
      <c r="BQ58" s="24"/>
      <c r="BR58" s="24"/>
      <c r="BS58" s="24"/>
      <c r="BT58" s="24"/>
      <c r="BU58" s="24">
        <v>46254</v>
      </c>
      <c r="BV58" s="24"/>
      <c r="BW58" s="23" t="str">
        <f t="shared" si="23"/>
        <v/>
      </c>
      <c r="BX58" s="24"/>
      <c r="BY58" s="24"/>
      <c r="BZ58" s="24"/>
      <c r="CA58" s="24"/>
      <c r="CB58" s="24"/>
      <c r="CC58" s="24"/>
      <c r="CD58" s="24"/>
      <c r="CE58" s="24"/>
      <c r="CF58" s="24"/>
      <c r="CG58" s="24"/>
      <c r="CH58" s="23" t="str">
        <f t="shared" si="24"/>
        <v/>
      </c>
      <c r="CI58" s="24"/>
      <c r="CJ58" s="24"/>
      <c r="CK58" s="24"/>
      <c r="CL58" s="24"/>
      <c r="CM58" s="24"/>
      <c r="CN58" s="24"/>
      <c r="CO58" s="24"/>
      <c r="CP58" s="24"/>
      <c r="CQ58" s="24"/>
      <c r="CR58" s="24"/>
      <c r="CS58" s="23">
        <f t="shared" si="25"/>
        <v>46258</v>
      </c>
      <c r="CT58" s="24">
        <v>46259</v>
      </c>
      <c r="CU58" s="24">
        <v>46258</v>
      </c>
      <c r="CV58" s="24"/>
      <c r="CW58" s="24"/>
      <c r="CX58" s="24"/>
      <c r="CY58" s="24"/>
      <c r="CZ58" s="24"/>
      <c r="DA58" s="24"/>
      <c r="DB58" s="24"/>
      <c r="DC58" s="24"/>
      <c r="DD58" s="23" t="str">
        <f t="shared" si="26"/>
        <v/>
      </c>
      <c r="DE58" s="24"/>
      <c r="DF58" s="24"/>
      <c r="DG58" s="24"/>
      <c r="DH58" s="24"/>
      <c r="DI58" s="24"/>
      <c r="DJ58" s="24"/>
      <c r="DK58" s="24"/>
      <c r="DL58" s="24"/>
      <c r="DM58" s="24"/>
      <c r="DN58" s="24"/>
      <c r="DO58" s="22" t="str">
        <f t="shared" si="27"/>
        <v/>
      </c>
      <c r="DR58" t="s">
        <v>117</v>
      </c>
      <c r="DZ58" s="23" t="str">
        <f t="shared" si="28"/>
        <v/>
      </c>
      <c r="EA58" s="24"/>
      <c r="EB58" s="24"/>
      <c r="EC58" s="24"/>
      <c r="ED58" s="24"/>
      <c r="EE58" s="24"/>
      <c r="EF58" s="24"/>
      <c r="EG58" s="24"/>
      <c r="EH58" s="24"/>
      <c r="EI58" s="24"/>
      <c r="EJ58" s="24"/>
      <c r="EK58" s="23" t="str">
        <f t="shared" si="29"/>
        <v/>
      </c>
      <c r="EL58" s="24"/>
      <c r="EM58" s="24"/>
      <c r="EN58" s="24"/>
      <c r="EO58" s="24"/>
      <c r="EP58" s="24"/>
      <c r="EQ58" s="24"/>
      <c r="ER58" s="24"/>
      <c r="ES58" s="24"/>
      <c r="ET58" s="24"/>
      <c r="EU58" s="24"/>
      <c r="EV58" s="23" t="str">
        <f t="shared" si="30"/>
        <v/>
      </c>
      <c r="EW58" s="24"/>
      <c r="EX58" s="24"/>
      <c r="EY58" s="24"/>
      <c r="EZ58" s="24"/>
      <c r="FA58" s="24"/>
      <c r="FB58" s="24"/>
      <c r="FC58" s="24"/>
      <c r="FD58" s="24"/>
      <c r="FE58" s="24"/>
      <c r="FF58" s="24"/>
      <c r="FG58" s="23" t="str">
        <f t="shared" si="31"/>
        <v/>
      </c>
      <c r="FH58" s="24"/>
      <c r="FI58" s="24"/>
      <c r="FJ58" s="24"/>
      <c r="FK58" s="24"/>
      <c r="FL58" s="24"/>
      <c r="FM58" s="24"/>
      <c r="FN58" s="24"/>
      <c r="FO58" s="24"/>
      <c r="FP58" s="24"/>
      <c r="FQ58" s="24"/>
    </row>
    <row r="59" spans="1:173" x14ac:dyDescent="0.25">
      <c r="A59">
        <v>4165</v>
      </c>
      <c r="B59" t="str">
        <f t="shared" si="16"/>
        <v>WHSU6737671|WHLC100GX12770</v>
      </c>
      <c r="C59" s="24">
        <v>46224.406087962961</v>
      </c>
      <c r="E59" t="s">
        <v>613</v>
      </c>
      <c r="F59" t="s">
        <v>434</v>
      </c>
      <c r="G59" t="s">
        <v>614</v>
      </c>
      <c r="H59" t="s">
        <v>615</v>
      </c>
      <c r="I59" s="22" t="str">
        <f t="shared" si="17"/>
        <v/>
      </c>
      <c r="J59" t="s">
        <v>615</v>
      </c>
      <c r="K59" t="s">
        <v>615</v>
      </c>
      <c r="L59" t="s">
        <v>117</v>
      </c>
      <c r="M59" t="s">
        <v>117</v>
      </c>
      <c r="N59" t="s">
        <v>615</v>
      </c>
      <c r="O59" t="s">
        <v>117</v>
      </c>
      <c r="P59" t="s">
        <v>117</v>
      </c>
      <c r="Q59" t="s">
        <v>117</v>
      </c>
      <c r="R59" t="s">
        <v>615</v>
      </c>
      <c r="S59" t="s">
        <v>117</v>
      </c>
      <c r="T59" s="22" t="str">
        <f t="shared" si="18"/>
        <v/>
      </c>
      <c r="U59" t="s">
        <v>596</v>
      </c>
      <c r="V59" t="s">
        <v>596</v>
      </c>
      <c r="X59" t="s">
        <v>117</v>
      </c>
      <c r="Y59" t="s">
        <v>596</v>
      </c>
      <c r="AA59" t="s">
        <v>117</v>
      </c>
      <c r="AB59" t="s">
        <v>117</v>
      </c>
      <c r="AC59" t="s">
        <v>596</v>
      </c>
      <c r="AE59" s="23" t="str">
        <f t="shared" si="19"/>
        <v/>
      </c>
      <c r="AF59" s="24">
        <v>46228</v>
      </c>
      <c r="AG59" s="24">
        <v>46228</v>
      </c>
      <c r="AH59" s="24"/>
      <c r="AI59" s="24"/>
      <c r="AJ59" s="24">
        <v>46229.068749999999</v>
      </c>
      <c r="AK59" s="24"/>
      <c r="AL59" s="24"/>
      <c r="AM59" s="24"/>
      <c r="AN59" s="24">
        <v>46228</v>
      </c>
      <c r="AO59" s="24"/>
      <c r="AP59" s="23">
        <f t="shared" si="20"/>
        <v>46253</v>
      </c>
      <c r="AQ59" s="24">
        <v>46254</v>
      </c>
      <c r="AR59" s="24">
        <v>46253</v>
      </c>
      <c r="AS59" s="24"/>
      <c r="AT59" s="24"/>
      <c r="AU59" s="24">
        <v>46253.75</v>
      </c>
      <c r="AV59" s="24"/>
      <c r="AW59" s="24"/>
      <c r="AX59" s="24"/>
      <c r="AY59" s="24">
        <v>46254</v>
      </c>
      <c r="AZ59" s="24"/>
      <c r="BA59" s="23" t="str">
        <f t="shared" si="21"/>
        <v/>
      </c>
      <c r="BB59" s="24"/>
      <c r="BC59" s="24"/>
      <c r="BD59" s="24"/>
      <c r="BE59" s="24"/>
      <c r="BF59" s="24"/>
      <c r="BG59" s="24"/>
      <c r="BH59" s="24"/>
      <c r="BI59" s="24"/>
      <c r="BJ59" s="24"/>
      <c r="BK59" s="24"/>
      <c r="BL59" s="23">
        <f t="shared" si="22"/>
        <v>46253</v>
      </c>
      <c r="BM59" s="24">
        <v>46254</v>
      </c>
      <c r="BN59" s="24">
        <v>46253</v>
      </c>
      <c r="BO59" s="24"/>
      <c r="BP59" s="24"/>
      <c r="BQ59" s="24"/>
      <c r="BR59" s="24"/>
      <c r="BS59" s="24"/>
      <c r="BT59" s="24"/>
      <c r="BU59" s="24">
        <v>46254</v>
      </c>
      <c r="BV59" s="24"/>
      <c r="BW59" s="23" t="str">
        <f t="shared" si="23"/>
        <v/>
      </c>
      <c r="BX59" s="24"/>
      <c r="BY59" s="24"/>
      <c r="BZ59" s="24"/>
      <c r="CA59" s="24"/>
      <c r="CB59" s="24"/>
      <c r="CC59" s="24"/>
      <c r="CD59" s="24"/>
      <c r="CE59" s="24"/>
      <c r="CF59" s="24"/>
      <c r="CG59" s="24"/>
      <c r="CH59" s="23" t="str">
        <f t="shared" si="24"/>
        <v/>
      </c>
      <c r="CI59" s="24"/>
      <c r="CJ59" s="24"/>
      <c r="CK59" s="24"/>
      <c r="CL59" s="24"/>
      <c r="CM59" s="24"/>
      <c r="CN59" s="24"/>
      <c r="CO59" s="24"/>
      <c r="CP59" s="24"/>
      <c r="CQ59" s="24"/>
      <c r="CR59" s="24"/>
      <c r="CS59" s="23">
        <f t="shared" si="25"/>
        <v>46258</v>
      </c>
      <c r="CT59" s="24">
        <v>46259</v>
      </c>
      <c r="CU59" s="24">
        <v>46258</v>
      </c>
      <c r="CV59" s="24"/>
      <c r="CW59" s="24"/>
      <c r="CX59" s="24"/>
      <c r="CY59" s="24"/>
      <c r="CZ59" s="24"/>
      <c r="DA59" s="24"/>
      <c r="DB59" s="24"/>
      <c r="DC59" s="24"/>
      <c r="DD59" s="23" t="str">
        <f t="shared" si="26"/>
        <v/>
      </c>
      <c r="DE59" s="24"/>
      <c r="DF59" s="24"/>
      <c r="DG59" s="24"/>
      <c r="DH59" s="24"/>
      <c r="DI59" s="24"/>
      <c r="DJ59" s="24"/>
      <c r="DK59" s="24"/>
      <c r="DL59" s="24"/>
      <c r="DM59" s="24"/>
      <c r="DN59" s="24"/>
      <c r="DO59" s="22" t="str">
        <f t="shared" si="27"/>
        <v/>
      </c>
      <c r="DR59" t="s">
        <v>117</v>
      </c>
      <c r="DZ59" s="23" t="str">
        <f t="shared" si="28"/>
        <v/>
      </c>
      <c r="EA59" s="24"/>
      <c r="EB59" s="24"/>
      <c r="EC59" s="24"/>
      <c r="ED59" s="24"/>
      <c r="EE59" s="24"/>
      <c r="EF59" s="24"/>
      <c r="EG59" s="24"/>
      <c r="EH59" s="24"/>
      <c r="EI59" s="24"/>
      <c r="EJ59" s="24"/>
      <c r="EK59" s="23" t="str">
        <f t="shared" si="29"/>
        <v/>
      </c>
      <c r="EL59" s="24"/>
      <c r="EM59" s="24"/>
      <c r="EN59" s="24"/>
      <c r="EO59" s="24"/>
      <c r="EP59" s="24"/>
      <c r="EQ59" s="24"/>
      <c r="ER59" s="24"/>
      <c r="ES59" s="24"/>
      <c r="ET59" s="24"/>
      <c r="EU59" s="24"/>
      <c r="EV59" s="23" t="str">
        <f t="shared" si="30"/>
        <v/>
      </c>
      <c r="EW59" s="24"/>
      <c r="EX59" s="24"/>
      <c r="EY59" s="24"/>
      <c r="EZ59" s="24"/>
      <c r="FA59" s="24"/>
      <c r="FB59" s="24"/>
      <c r="FC59" s="24"/>
      <c r="FD59" s="24"/>
      <c r="FE59" s="24"/>
      <c r="FF59" s="24"/>
      <c r="FG59" s="23" t="str">
        <f t="shared" si="31"/>
        <v/>
      </c>
      <c r="FH59" s="24"/>
      <c r="FI59" s="24"/>
      <c r="FJ59" s="24"/>
      <c r="FK59" s="24"/>
      <c r="FL59" s="24"/>
      <c r="FM59" s="24"/>
      <c r="FN59" s="24"/>
      <c r="FO59" s="24"/>
      <c r="FP59" s="24"/>
      <c r="FQ59" s="24"/>
    </row>
    <row r="60" spans="1:173" x14ac:dyDescent="0.25">
      <c r="A60">
        <v>4179</v>
      </c>
      <c r="B60" t="str">
        <f t="shared" si="16"/>
        <v>GAOU6207721|HANM49306100</v>
      </c>
      <c r="C60" s="24">
        <v>46225.28738425926</v>
      </c>
      <c r="E60" t="s">
        <v>616</v>
      </c>
      <c r="F60" t="s">
        <v>434</v>
      </c>
      <c r="G60" t="s">
        <v>617</v>
      </c>
      <c r="H60" t="s">
        <v>618</v>
      </c>
      <c r="I60" s="22" t="str">
        <f t="shared" si="17"/>
        <v/>
      </c>
      <c r="J60" t="s">
        <v>618</v>
      </c>
      <c r="K60" t="s">
        <v>117</v>
      </c>
      <c r="L60" t="s">
        <v>117</v>
      </c>
      <c r="M60" t="s">
        <v>117</v>
      </c>
      <c r="N60" t="s">
        <v>117</v>
      </c>
      <c r="O60" t="s">
        <v>117</v>
      </c>
      <c r="P60" t="s">
        <v>117</v>
      </c>
      <c r="Q60" t="s">
        <v>117</v>
      </c>
      <c r="R60" t="s">
        <v>117</v>
      </c>
      <c r="S60" t="s">
        <v>117</v>
      </c>
      <c r="T60" s="22" t="str">
        <f t="shared" si="18"/>
        <v/>
      </c>
      <c r="U60" t="s">
        <v>562</v>
      </c>
      <c r="V60" t="s">
        <v>117</v>
      </c>
      <c r="X60" t="s">
        <v>117</v>
      </c>
      <c r="Y60" t="s">
        <v>117</v>
      </c>
      <c r="AA60" t="s">
        <v>117</v>
      </c>
      <c r="AB60" t="s">
        <v>117</v>
      </c>
      <c r="AC60" t="s">
        <v>117</v>
      </c>
      <c r="AE60" s="23" t="str">
        <f t="shared" si="19"/>
        <v/>
      </c>
      <c r="AF60" s="24">
        <v>46228</v>
      </c>
      <c r="AG60" s="24"/>
      <c r="AH60" s="24"/>
      <c r="AI60" s="24"/>
      <c r="AJ60" s="24"/>
      <c r="AK60" s="24"/>
      <c r="AL60" s="24"/>
      <c r="AM60" s="24"/>
      <c r="AN60" s="24"/>
      <c r="AO60" s="24"/>
      <c r="AP60" s="23" t="str">
        <f t="shared" si="20"/>
        <v/>
      </c>
      <c r="AQ60" s="24">
        <v>46245</v>
      </c>
      <c r="AR60" s="24"/>
      <c r="AS60" s="24"/>
      <c r="AT60" s="24"/>
      <c r="AU60" s="24"/>
      <c r="AV60" s="24"/>
      <c r="AW60" s="24"/>
      <c r="AX60" s="24"/>
      <c r="AY60" s="24"/>
      <c r="AZ60" s="24"/>
      <c r="BA60" s="23" t="str">
        <f t="shared" si="21"/>
        <v/>
      </c>
      <c r="BB60" s="24"/>
      <c r="BC60" s="24"/>
      <c r="BD60" s="24"/>
      <c r="BE60" s="24"/>
      <c r="BF60" s="24"/>
      <c r="BG60" s="24"/>
      <c r="BH60" s="24"/>
      <c r="BI60" s="24"/>
      <c r="BJ60" s="24"/>
      <c r="BK60" s="24"/>
      <c r="BL60" s="23" t="str">
        <f t="shared" si="22"/>
        <v/>
      </c>
      <c r="BM60" s="24"/>
      <c r="BN60" s="24"/>
      <c r="BO60" s="24"/>
      <c r="BP60" s="24"/>
      <c r="BQ60" s="24"/>
      <c r="BR60" s="24"/>
      <c r="BS60" s="24"/>
      <c r="BT60" s="24"/>
      <c r="BU60" s="24"/>
      <c r="BV60" s="24"/>
      <c r="BW60" s="23" t="str">
        <f t="shared" si="23"/>
        <v/>
      </c>
      <c r="BX60" s="24"/>
      <c r="BY60" s="24"/>
      <c r="BZ60" s="24"/>
      <c r="CA60" s="24"/>
      <c r="CB60" s="24"/>
      <c r="CC60" s="24"/>
      <c r="CD60" s="24"/>
      <c r="CE60" s="24"/>
      <c r="CF60" s="24"/>
      <c r="CG60" s="24"/>
      <c r="CH60" s="23" t="str">
        <f t="shared" si="24"/>
        <v/>
      </c>
      <c r="CI60" s="24"/>
      <c r="CJ60" s="24"/>
      <c r="CK60" s="24"/>
      <c r="CL60" s="24"/>
      <c r="CM60" s="24"/>
      <c r="CN60" s="24"/>
      <c r="CO60" s="24"/>
      <c r="CP60" s="24"/>
      <c r="CQ60" s="24"/>
      <c r="CR60" s="24"/>
      <c r="CS60" s="23">
        <f t="shared" si="25"/>
        <v>46250</v>
      </c>
      <c r="CT60" s="24">
        <v>46250</v>
      </c>
      <c r="CU60" s="24"/>
      <c r="CV60" s="24"/>
      <c r="CW60" s="24"/>
      <c r="CX60" s="24"/>
      <c r="CY60" s="24"/>
      <c r="CZ60" s="24"/>
      <c r="DA60" s="24"/>
      <c r="DB60" s="24"/>
      <c r="DC60" s="24"/>
      <c r="DD60" s="23" t="str">
        <f t="shared" si="26"/>
        <v/>
      </c>
      <c r="DE60" s="24"/>
      <c r="DF60" s="24"/>
      <c r="DG60" s="24"/>
      <c r="DH60" s="24"/>
      <c r="DI60" s="24"/>
      <c r="DJ60" s="24"/>
      <c r="DK60" s="24"/>
      <c r="DL60" s="24"/>
      <c r="DM60" s="24"/>
      <c r="DN60" s="24"/>
      <c r="DO60" s="22" t="str">
        <f t="shared" si="27"/>
        <v/>
      </c>
      <c r="DR60" t="s">
        <v>117</v>
      </c>
      <c r="DZ60" s="23" t="str">
        <f t="shared" si="28"/>
        <v/>
      </c>
      <c r="EA60" s="24"/>
      <c r="EB60" s="24"/>
      <c r="EC60" s="24"/>
      <c r="ED60" s="24"/>
      <c r="EE60" s="24"/>
      <c r="EF60" s="24"/>
      <c r="EG60" s="24"/>
      <c r="EH60" s="24"/>
      <c r="EI60" s="24"/>
      <c r="EJ60" s="24"/>
      <c r="EK60" s="23" t="str">
        <f t="shared" si="29"/>
        <v/>
      </c>
      <c r="EL60" s="24"/>
      <c r="EM60" s="24"/>
      <c r="EN60" s="24"/>
      <c r="EO60" s="24"/>
      <c r="EP60" s="24"/>
      <c r="EQ60" s="24"/>
      <c r="ER60" s="24"/>
      <c r="ES60" s="24"/>
      <c r="ET60" s="24"/>
      <c r="EU60" s="24"/>
      <c r="EV60" s="23" t="str">
        <f t="shared" si="30"/>
        <v/>
      </c>
      <c r="EW60" s="24"/>
      <c r="EX60" s="24"/>
      <c r="EY60" s="24"/>
      <c r="EZ60" s="24"/>
      <c r="FA60" s="24"/>
      <c r="FB60" s="24"/>
      <c r="FC60" s="24"/>
      <c r="FD60" s="24"/>
      <c r="FE60" s="24"/>
      <c r="FF60" s="24"/>
      <c r="FG60" s="23" t="str">
        <f t="shared" si="31"/>
        <v/>
      </c>
      <c r="FH60" s="24"/>
      <c r="FI60" s="24"/>
      <c r="FJ60" s="24"/>
      <c r="FK60" s="24"/>
      <c r="FL60" s="24"/>
      <c r="FM60" s="24"/>
      <c r="FN60" s="24"/>
      <c r="FO60" s="24"/>
      <c r="FP60" s="24"/>
      <c r="FQ60" s="24"/>
    </row>
    <row r="61" spans="1:173" x14ac:dyDescent="0.25">
      <c r="A61">
        <v>4180</v>
      </c>
      <c r="B61" t="str">
        <f t="shared" si="16"/>
        <v>WHSU5704610|WHLC050GA08286</v>
      </c>
      <c r="C61" s="24">
        <v>46226.282025462962</v>
      </c>
      <c r="E61" t="s">
        <v>619</v>
      </c>
      <c r="F61" t="s">
        <v>434</v>
      </c>
      <c r="G61" t="s">
        <v>620</v>
      </c>
      <c r="H61" t="s">
        <v>621</v>
      </c>
      <c r="I61" s="22" t="str">
        <f t="shared" si="17"/>
        <v/>
      </c>
      <c r="J61" t="s">
        <v>621</v>
      </c>
      <c r="K61" t="s">
        <v>621</v>
      </c>
      <c r="L61" t="s">
        <v>117</v>
      </c>
      <c r="M61" t="s">
        <v>117</v>
      </c>
      <c r="N61" t="s">
        <v>621</v>
      </c>
      <c r="O61" t="s">
        <v>117</v>
      </c>
      <c r="P61" t="s">
        <v>117</v>
      </c>
      <c r="Q61" t="s">
        <v>117</v>
      </c>
      <c r="R61" t="s">
        <v>117</v>
      </c>
      <c r="S61" t="s">
        <v>117</v>
      </c>
      <c r="T61" s="22" t="str">
        <f t="shared" si="18"/>
        <v/>
      </c>
      <c r="U61" t="s">
        <v>622</v>
      </c>
      <c r="V61" t="s">
        <v>622</v>
      </c>
      <c r="X61" t="s">
        <v>117</v>
      </c>
      <c r="Y61" t="s">
        <v>622</v>
      </c>
      <c r="AA61" t="s">
        <v>117</v>
      </c>
      <c r="AB61" t="s">
        <v>117</v>
      </c>
      <c r="AC61" t="s">
        <v>117</v>
      </c>
      <c r="AE61" s="23" t="str">
        <f t="shared" si="19"/>
        <v/>
      </c>
      <c r="AF61" s="24">
        <v>46227</v>
      </c>
      <c r="AG61" s="24">
        <v>46227</v>
      </c>
      <c r="AH61" s="24"/>
      <c r="AI61" s="24"/>
      <c r="AJ61" s="24"/>
      <c r="AK61" s="24"/>
      <c r="AL61" s="24"/>
      <c r="AM61" s="24"/>
      <c r="AN61" s="24"/>
      <c r="AO61" s="24"/>
      <c r="AP61" s="23" t="str">
        <f t="shared" si="20"/>
        <v/>
      </c>
      <c r="AQ61" s="24">
        <v>46261</v>
      </c>
      <c r="AR61" s="24">
        <v>46261</v>
      </c>
      <c r="AS61" s="24"/>
      <c r="AT61" s="24"/>
      <c r="AU61" s="24">
        <v>46261.625</v>
      </c>
      <c r="AV61" s="24"/>
      <c r="AW61" s="24"/>
      <c r="AX61" s="24"/>
      <c r="AY61" s="24"/>
      <c r="AZ61" s="24"/>
      <c r="BA61" s="23" t="str">
        <f t="shared" si="21"/>
        <v/>
      </c>
      <c r="BB61" s="24"/>
      <c r="BC61" s="24"/>
      <c r="BD61" s="24"/>
      <c r="BE61" s="24"/>
      <c r="BF61" s="24"/>
      <c r="BG61" s="24"/>
      <c r="BH61" s="24"/>
      <c r="BI61" s="24"/>
      <c r="BJ61" s="24"/>
      <c r="BK61" s="24"/>
      <c r="BL61" s="23" t="str">
        <f t="shared" si="22"/>
        <v/>
      </c>
      <c r="BM61" s="24">
        <v>46261</v>
      </c>
      <c r="BN61" s="24">
        <v>46261</v>
      </c>
      <c r="BO61" s="24"/>
      <c r="BP61" s="24"/>
      <c r="BQ61" s="24"/>
      <c r="BR61" s="24"/>
      <c r="BS61" s="24"/>
      <c r="BT61" s="24"/>
      <c r="BU61" s="24"/>
      <c r="BV61" s="24"/>
      <c r="BW61" s="23" t="str">
        <f t="shared" si="23"/>
        <v/>
      </c>
      <c r="BX61" s="24"/>
      <c r="BY61" s="24"/>
      <c r="BZ61" s="24"/>
      <c r="CA61" s="24"/>
      <c r="CB61" s="24"/>
      <c r="CC61" s="24"/>
      <c r="CD61" s="24"/>
      <c r="CE61" s="24"/>
      <c r="CF61" s="24"/>
      <c r="CG61" s="24"/>
      <c r="CH61" s="23" t="str">
        <f t="shared" si="24"/>
        <v/>
      </c>
      <c r="CI61" s="24"/>
      <c r="CJ61" s="24"/>
      <c r="CK61" s="24"/>
      <c r="CL61" s="24"/>
      <c r="CM61" s="24"/>
      <c r="CN61" s="24"/>
      <c r="CO61" s="24"/>
      <c r="CP61" s="24"/>
      <c r="CQ61" s="24"/>
      <c r="CR61" s="24"/>
      <c r="CS61" s="23">
        <f t="shared" si="25"/>
        <v>46266</v>
      </c>
      <c r="CT61" s="24">
        <v>46266</v>
      </c>
      <c r="CU61" s="24">
        <v>46266</v>
      </c>
      <c r="CV61" s="24"/>
      <c r="CW61" s="24"/>
      <c r="CX61" s="24"/>
      <c r="CY61" s="24"/>
      <c r="CZ61" s="24"/>
      <c r="DA61" s="24"/>
      <c r="DB61" s="24"/>
      <c r="DC61" s="24"/>
      <c r="DD61" s="23" t="str">
        <f t="shared" si="26"/>
        <v/>
      </c>
      <c r="DE61" s="24"/>
      <c r="DF61" s="24"/>
      <c r="DG61" s="24"/>
      <c r="DH61" s="24"/>
      <c r="DI61" s="24"/>
      <c r="DJ61" s="24"/>
      <c r="DK61" s="24"/>
      <c r="DL61" s="24"/>
      <c r="DM61" s="24"/>
      <c r="DN61" s="24"/>
      <c r="DO61" s="22" t="str">
        <f t="shared" si="27"/>
        <v/>
      </c>
      <c r="DR61" t="s">
        <v>117</v>
      </c>
      <c r="DZ61" s="23" t="str">
        <f t="shared" si="28"/>
        <v/>
      </c>
      <c r="EA61" s="24"/>
      <c r="EB61" s="24"/>
      <c r="EC61" s="24"/>
      <c r="ED61" s="24"/>
      <c r="EE61" s="24"/>
      <c r="EF61" s="24"/>
      <c r="EG61" s="24"/>
      <c r="EH61" s="24"/>
      <c r="EI61" s="24"/>
      <c r="EJ61" s="24"/>
      <c r="EK61" s="23" t="str">
        <f t="shared" si="29"/>
        <v/>
      </c>
      <c r="EL61" s="24"/>
      <c r="EM61" s="24"/>
      <c r="EN61" s="24"/>
      <c r="EO61" s="24"/>
      <c r="EP61" s="24"/>
      <c r="EQ61" s="24"/>
      <c r="ER61" s="24"/>
      <c r="ES61" s="24"/>
      <c r="ET61" s="24"/>
      <c r="EU61" s="24"/>
      <c r="EV61" s="23" t="str">
        <f t="shared" si="30"/>
        <v/>
      </c>
      <c r="EW61" s="24"/>
      <c r="EX61" s="24"/>
      <c r="EY61" s="24"/>
      <c r="EZ61" s="24"/>
      <c r="FA61" s="24"/>
      <c r="FB61" s="24"/>
      <c r="FC61" s="24"/>
      <c r="FD61" s="24"/>
      <c r="FE61" s="24"/>
      <c r="FF61" s="24"/>
      <c r="FG61" s="23" t="str">
        <f t="shared" si="31"/>
        <v/>
      </c>
      <c r="FH61" s="24"/>
      <c r="FI61" s="24"/>
      <c r="FJ61" s="24"/>
      <c r="FK61" s="24"/>
      <c r="FL61" s="24"/>
      <c r="FM61" s="24"/>
      <c r="FN61" s="24"/>
      <c r="FO61" s="24"/>
      <c r="FP61" s="24"/>
      <c r="FQ61" s="24"/>
    </row>
    <row r="62" spans="1:173" x14ac:dyDescent="0.25">
      <c r="A62">
        <v>4181</v>
      </c>
      <c r="B62" t="str">
        <f t="shared" si="16"/>
        <v>SMCU1182718|TAYH6L302700</v>
      </c>
      <c r="C62" s="24">
        <v>46226.284421296295</v>
      </c>
      <c r="E62" t="s">
        <v>623</v>
      </c>
      <c r="G62" t="s">
        <v>624</v>
      </c>
      <c r="H62" t="s">
        <v>625</v>
      </c>
      <c r="I62" s="22" t="str">
        <f t="shared" si="17"/>
        <v/>
      </c>
      <c r="K62" t="s">
        <v>117</v>
      </c>
      <c r="L62" t="s">
        <v>117</v>
      </c>
      <c r="M62" t="s">
        <v>117</v>
      </c>
      <c r="N62" t="s">
        <v>117</v>
      </c>
      <c r="O62" t="s">
        <v>117</v>
      </c>
      <c r="P62" t="s">
        <v>117</v>
      </c>
      <c r="Q62" t="s">
        <v>117</v>
      </c>
      <c r="R62" t="s">
        <v>117</v>
      </c>
      <c r="S62" t="s">
        <v>117</v>
      </c>
      <c r="T62" s="22" t="str">
        <f t="shared" si="18"/>
        <v/>
      </c>
      <c r="U62" t="s">
        <v>626</v>
      </c>
      <c r="V62" t="s">
        <v>117</v>
      </c>
      <c r="X62" t="s">
        <v>117</v>
      </c>
      <c r="Y62" t="s">
        <v>117</v>
      </c>
      <c r="AA62" t="s">
        <v>117</v>
      </c>
      <c r="AB62" t="s">
        <v>117</v>
      </c>
      <c r="AC62" t="s">
        <v>117</v>
      </c>
      <c r="AE62" s="23" t="str">
        <f t="shared" si="19"/>
        <v/>
      </c>
      <c r="AF62" s="24">
        <v>46231</v>
      </c>
      <c r="AG62" s="24"/>
      <c r="AH62" s="24"/>
      <c r="AI62" s="24"/>
      <c r="AJ62" s="24"/>
      <c r="AK62" s="24"/>
      <c r="AL62" s="24"/>
      <c r="AM62" s="24"/>
      <c r="AN62" s="24"/>
      <c r="AO62" s="24"/>
      <c r="AP62" s="23" t="str">
        <f t="shared" si="20"/>
        <v/>
      </c>
      <c r="AQ62" s="24">
        <v>46262</v>
      </c>
      <c r="AR62" s="24"/>
      <c r="AS62" s="24"/>
      <c r="AT62" s="24"/>
      <c r="AU62" s="24"/>
      <c r="AV62" s="24"/>
      <c r="AW62" s="24"/>
      <c r="AX62" s="24"/>
      <c r="AY62" s="24"/>
      <c r="AZ62" s="24"/>
      <c r="BA62" s="23" t="str">
        <f t="shared" si="21"/>
        <v/>
      </c>
      <c r="BB62" s="24"/>
      <c r="BC62" s="24"/>
      <c r="BD62" s="24"/>
      <c r="BE62" s="24"/>
      <c r="BF62" s="24"/>
      <c r="BG62" s="24"/>
      <c r="BH62" s="24"/>
      <c r="BI62" s="24"/>
      <c r="BJ62" s="24"/>
      <c r="BK62" s="24"/>
      <c r="BL62" s="23" t="str">
        <f t="shared" si="22"/>
        <v/>
      </c>
      <c r="BM62" s="24"/>
      <c r="BN62" s="24"/>
      <c r="BO62" s="24"/>
      <c r="BP62" s="24"/>
      <c r="BQ62" s="24"/>
      <c r="BR62" s="24"/>
      <c r="BS62" s="24"/>
      <c r="BT62" s="24"/>
      <c r="BU62" s="24"/>
      <c r="BV62" s="24"/>
      <c r="BW62" s="23" t="str">
        <f t="shared" si="23"/>
        <v/>
      </c>
      <c r="BX62" s="24"/>
      <c r="BY62" s="24"/>
      <c r="BZ62" s="24"/>
      <c r="CA62" s="24"/>
      <c r="CB62" s="24"/>
      <c r="CC62" s="24"/>
      <c r="CD62" s="24"/>
      <c r="CE62" s="24"/>
      <c r="CF62" s="24"/>
      <c r="CG62" s="24"/>
      <c r="CH62" s="23" t="str">
        <f t="shared" si="24"/>
        <v/>
      </c>
      <c r="CI62" s="24"/>
      <c r="CJ62" s="24"/>
      <c r="CK62" s="24"/>
      <c r="CL62" s="24"/>
      <c r="CM62" s="24"/>
      <c r="CN62" s="24"/>
      <c r="CO62" s="24"/>
      <c r="CP62" s="24"/>
      <c r="CQ62" s="24"/>
      <c r="CR62" s="24"/>
      <c r="CS62" s="23">
        <f t="shared" si="25"/>
        <v>46267</v>
      </c>
      <c r="CT62" s="24">
        <v>46267</v>
      </c>
      <c r="CU62" s="24"/>
      <c r="CV62" s="24"/>
      <c r="CW62" s="24"/>
      <c r="CX62" s="24"/>
      <c r="CY62" s="24"/>
      <c r="CZ62" s="24"/>
      <c r="DA62" s="24"/>
      <c r="DB62" s="24"/>
      <c r="DC62" s="24"/>
      <c r="DD62" s="23" t="str">
        <f t="shared" si="26"/>
        <v/>
      </c>
      <c r="DE62" s="24"/>
      <c r="DF62" s="24"/>
      <c r="DG62" s="24"/>
      <c r="DH62" s="24"/>
      <c r="DI62" s="24"/>
      <c r="DJ62" s="24"/>
      <c r="DK62" s="24"/>
      <c r="DL62" s="24"/>
      <c r="DM62" s="24"/>
      <c r="DN62" s="24"/>
      <c r="DO62" s="22" t="str">
        <f t="shared" si="27"/>
        <v/>
      </c>
      <c r="DR62" t="s">
        <v>117</v>
      </c>
      <c r="DZ62" s="23" t="str">
        <f t="shared" si="28"/>
        <v/>
      </c>
      <c r="EA62" s="24"/>
      <c r="EB62" s="24"/>
      <c r="EC62" s="24"/>
      <c r="ED62" s="24"/>
      <c r="EE62" s="24"/>
      <c r="EF62" s="24"/>
      <c r="EG62" s="24"/>
      <c r="EH62" s="24"/>
      <c r="EI62" s="24"/>
      <c r="EJ62" s="24"/>
      <c r="EK62" s="23" t="str">
        <f t="shared" si="29"/>
        <v/>
      </c>
      <c r="EL62" s="24"/>
      <c r="EM62" s="24"/>
      <c r="EN62" s="24"/>
      <c r="EO62" s="24"/>
      <c r="EP62" s="24"/>
      <c r="EQ62" s="24"/>
      <c r="ER62" s="24"/>
      <c r="ES62" s="24"/>
      <c r="ET62" s="24"/>
      <c r="EU62" s="24"/>
      <c r="EV62" s="23" t="str">
        <f t="shared" si="30"/>
        <v/>
      </c>
      <c r="EW62" s="24"/>
      <c r="EX62" s="24"/>
      <c r="EY62" s="24"/>
      <c r="EZ62" s="24"/>
      <c r="FA62" s="24"/>
      <c r="FB62" s="24"/>
      <c r="FC62" s="24"/>
      <c r="FD62" s="24"/>
      <c r="FE62" s="24"/>
      <c r="FF62" s="24"/>
      <c r="FG62" s="23" t="str">
        <f t="shared" si="31"/>
        <v/>
      </c>
      <c r="FH62" s="24"/>
      <c r="FI62" s="24"/>
      <c r="FJ62" s="24"/>
      <c r="FK62" s="24"/>
      <c r="FL62" s="24"/>
      <c r="FM62" s="24"/>
      <c r="FN62" s="24"/>
      <c r="FO62" s="24"/>
      <c r="FP62" s="24"/>
      <c r="FQ62" s="24"/>
    </row>
    <row r="63" spans="1:173" x14ac:dyDescent="0.25">
      <c r="A63">
        <v>4184</v>
      </c>
      <c r="B63" t="str">
        <f t="shared" si="16"/>
        <v>NYKU4778859|AMDLAX004802</v>
      </c>
      <c r="C63" s="24">
        <v>46226.447199074071</v>
      </c>
      <c r="E63" t="s">
        <v>627</v>
      </c>
      <c r="F63" t="s">
        <v>421</v>
      </c>
      <c r="G63" t="s">
        <v>628</v>
      </c>
      <c r="H63" t="s">
        <v>629</v>
      </c>
      <c r="I63" s="22" t="str">
        <f t="shared" si="17"/>
        <v/>
      </c>
      <c r="K63" t="s">
        <v>117</v>
      </c>
      <c r="L63" t="s">
        <v>117</v>
      </c>
      <c r="M63" t="s">
        <v>117</v>
      </c>
      <c r="N63" t="s">
        <v>117</v>
      </c>
      <c r="O63" t="s">
        <v>117</v>
      </c>
      <c r="P63" t="s">
        <v>117</v>
      </c>
      <c r="Q63" t="s">
        <v>117</v>
      </c>
      <c r="R63" t="s">
        <v>117</v>
      </c>
      <c r="S63" t="s">
        <v>117</v>
      </c>
      <c r="T63" s="22" t="str">
        <f t="shared" si="18"/>
        <v/>
      </c>
      <c r="U63" t="s">
        <v>630</v>
      </c>
      <c r="V63" t="s">
        <v>117</v>
      </c>
      <c r="X63" t="s">
        <v>117</v>
      </c>
      <c r="Y63" t="s">
        <v>117</v>
      </c>
      <c r="AA63" t="s">
        <v>117</v>
      </c>
      <c r="AB63" t="s">
        <v>117</v>
      </c>
      <c r="AC63" t="s">
        <v>117</v>
      </c>
      <c r="AE63" s="23" t="str">
        <f t="shared" si="19"/>
        <v/>
      </c>
      <c r="AF63" s="24">
        <v>46222</v>
      </c>
      <c r="AG63" s="24"/>
      <c r="AH63" s="24"/>
      <c r="AI63" s="24"/>
      <c r="AJ63" s="24"/>
      <c r="AK63" s="24"/>
      <c r="AL63" s="24"/>
      <c r="AM63" s="24"/>
      <c r="AN63" s="24"/>
      <c r="AO63" s="24"/>
      <c r="AP63" s="23" t="str">
        <f t="shared" si="20"/>
        <v/>
      </c>
      <c r="AQ63" s="24">
        <v>46253</v>
      </c>
      <c r="AR63" s="24"/>
      <c r="AS63" s="24"/>
      <c r="AT63" s="24"/>
      <c r="AU63" s="24"/>
      <c r="AV63" s="24"/>
      <c r="AW63" s="24"/>
      <c r="AX63" s="24"/>
      <c r="AY63" s="24"/>
      <c r="AZ63" s="24"/>
      <c r="BA63" s="23" t="str">
        <f t="shared" si="21"/>
        <v/>
      </c>
      <c r="BB63" s="24"/>
      <c r="BC63" s="24"/>
      <c r="BD63" s="24"/>
      <c r="BE63" s="24"/>
      <c r="BF63" s="24"/>
      <c r="BG63" s="24"/>
      <c r="BH63" s="24"/>
      <c r="BI63" s="24"/>
      <c r="BJ63" s="24"/>
      <c r="BK63" s="24"/>
      <c r="BL63" s="23" t="str">
        <f t="shared" si="22"/>
        <v/>
      </c>
      <c r="BM63" s="24"/>
      <c r="BN63" s="24"/>
      <c r="BO63" s="24"/>
      <c r="BP63" s="24"/>
      <c r="BQ63" s="24"/>
      <c r="BR63" s="24"/>
      <c r="BS63" s="24"/>
      <c r="BT63" s="24"/>
      <c r="BU63" s="24"/>
      <c r="BV63" s="24"/>
      <c r="BW63" s="23" t="str">
        <f t="shared" si="23"/>
        <v/>
      </c>
      <c r="BX63" s="24"/>
      <c r="BY63" s="24"/>
      <c r="BZ63" s="24"/>
      <c r="CA63" s="24"/>
      <c r="CB63" s="24"/>
      <c r="CC63" s="24"/>
      <c r="CD63" s="24"/>
      <c r="CE63" s="24"/>
      <c r="CF63" s="24"/>
      <c r="CG63" s="24"/>
      <c r="CH63" s="23" t="str">
        <f t="shared" si="24"/>
        <v/>
      </c>
      <c r="CI63" s="24"/>
      <c r="CJ63" s="24"/>
      <c r="CK63" s="24"/>
      <c r="CL63" s="24"/>
      <c r="CM63" s="24"/>
      <c r="CN63" s="24"/>
      <c r="CO63" s="24"/>
      <c r="CP63" s="24"/>
      <c r="CQ63" s="24"/>
      <c r="CR63" s="24"/>
      <c r="CS63" s="23">
        <f t="shared" si="25"/>
        <v>46258</v>
      </c>
      <c r="CT63" s="24">
        <v>46258</v>
      </c>
      <c r="CU63" s="24"/>
      <c r="CV63" s="24"/>
      <c r="CW63" s="24"/>
      <c r="CX63" s="24"/>
      <c r="CY63" s="24"/>
      <c r="CZ63" s="24"/>
      <c r="DA63" s="24"/>
      <c r="DB63" s="24"/>
      <c r="DC63" s="24"/>
      <c r="DD63" s="23" t="str">
        <f t="shared" si="26"/>
        <v/>
      </c>
      <c r="DE63" s="24"/>
      <c r="DF63" s="24"/>
      <c r="DG63" s="24"/>
      <c r="DH63" s="24"/>
      <c r="DI63" s="24"/>
      <c r="DJ63" s="24"/>
      <c r="DK63" s="24"/>
      <c r="DL63" s="24"/>
      <c r="DM63" s="24"/>
      <c r="DN63" s="24"/>
      <c r="DO63" s="22" t="str">
        <f t="shared" si="27"/>
        <v/>
      </c>
      <c r="DR63" t="s">
        <v>117</v>
      </c>
      <c r="DZ63" s="23" t="str">
        <f t="shared" si="28"/>
        <v/>
      </c>
      <c r="EA63" s="24"/>
      <c r="EB63" s="24"/>
      <c r="EC63" s="24"/>
      <c r="ED63" s="24"/>
      <c r="EE63" s="24"/>
      <c r="EF63" s="24"/>
      <c r="EG63" s="24"/>
      <c r="EH63" s="24"/>
      <c r="EI63" s="24"/>
      <c r="EJ63" s="24"/>
      <c r="EK63" s="23" t="str">
        <f t="shared" si="29"/>
        <v/>
      </c>
      <c r="EL63" s="24"/>
      <c r="EM63" s="24"/>
      <c r="EN63" s="24"/>
      <c r="EO63" s="24"/>
      <c r="EP63" s="24"/>
      <c r="EQ63" s="24"/>
      <c r="ER63" s="24"/>
      <c r="ES63" s="24"/>
      <c r="ET63" s="24"/>
      <c r="EU63" s="24"/>
      <c r="EV63" s="23" t="str">
        <f t="shared" si="30"/>
        <v/>
      </c>
      <c r="EW63" s="24"/>
      <c r="EX63" s="24"/>
      <c r="EY63" s="24"/>
      <c r="EZ63" s="24"/>
      <c r="FA63" s="24"/>
      <c r="FB63" s="24"/>
      <c r="FC63" s="24"/>
      <c r="FD63" s="24"/>
      <c r="FE63" s="24"/>
      <c r="FF63" s="24"/>
      <c r="FG63" s="23" t="str">
        <f t="shared" si="31"/>
        <v/>
      </c>
      <c r="FH63" s="24"/>
      <c r="FI63" s="24"/>
      <c r="FJ63" s="24"/>
      <c r="FK63" s="24"/>
      <c r="FL63" s="24"/>
      <c r="FM63" s="24"/>
      <c r="FN63" s="24"/>
      <c r="FO63" s="24"/>
      <c r="FP63" s="24"/>
      <c r="FQ63" s="24"/>
    </row>
    <row r="64" spans="1:173" x14ac:dyDescent="0.25">
      <c r="A64">
        <v>4186</v>
      </c>
      <c r="B64" t="str">
        <f t="shared" si="16"/>
        <v>WHSU8646610|WHLC035GX45024</v>
      </c>
      <c r="C64" s="24">
        <v>46227.314745370371</v>
      </c>
      <c r="E64" t="s">
        <v>631</v>
      </c>
      <c r="F64" t="s">
        <v>434</v>
      </c>
      <c r="G64" t="s">
        <v>632</v>
      </c>
      <c r="H64" t="s">
        <v>633</v>
      </c>
      <c r="I64" s="22" t="str">
        <f t="shared" si="17"/>
        <v/>
      </c>
      <c r="J64" t="s">
        <v>633</v>
      </c>
      <c r="K64" t="s">
        <v>117</v>
      </c>
      <c r="L64" t="s">
        <v>117</v>
      </c>
      <c r="M64" t="s">
        <v>117</v>
      </c>
      <c r="N64" t="s">
        <v>633</v>
      </c>
      <c r="O64" t="s">
        <v>117</v>
      </c>
      <c r="P64" t="s">
        <v>117</v>
      </c>
      <c r="Q64" t="s">
        <v>117</v>
      </c>
      <c r="R64" t="s">
        <v>633</v>
      </c>
      <c r="S64" t="s">
        <v>117</v>
      </c>
      <c r="T64" s="22" t="str">
        <f t="shared" si="18"/>
        <v/>
      </c>
      <c r="U64" t="s">
        <v>634</v>
      </c>
      <c r="V64" t="s">
        <v>117</v>
      </c>
      <c r="X64" t="s">
        <v>117</v>
      </c>
      <c r="Y64" t="s">
        <v>634</v>
      </c>
      <c r="AA64" t="s">
        <v>117</v>
      </c>
      <c r="AB64" t="s">
        <v>117</v>
      </c>
      <c r="AC64" t="s">
        <v>665</v>
      </c>
      <c r="AE64" s="23" t="str">
        <f t="shared" si="19"/>
        <v/>
      </c>
      <c r="AF64" s="24">
        <v>46231</v>
      </c>
      <c r="AG64" s="24"/>
      <c r="AH64" s="24"/>
      <c r="AI64" s="24"/>
      <c r="AJ64" s="24"/>
      <c r="AK64" s="24"/>
      <c r="AL64" s="24"/>
      <c r="AM64" s="24"/>
      <c r="AN64" s="24"/>
      <c r="AO64" s="24"/>
      <c r="AP64" s="23" t="str">
        <f t="shared" si="20"/>
        <v/>
      </c>
      <c r="AQ64" s="24">
        <v>46277</v>
      </c>
      <c r="AR64" s="24"/>
      <c r="AS64" s="24"/>
      <c r="AT64" s="24"/>
      <c r="AU64" s="24">
        <v>46277</v>
      </c>
      <c r="AV64" s="24"/>
      <c r="AW64" s="24"/>
      <c r="AX64" s="24"/>
      <c r="AY64" s="24">
        <v>46277</v>
      </c>
      <c r="AZ64" s="24"/>
      <c r="BA64" s="23" t="str">
        <f t="shared" si="21"/>
        <v/>
      </c>
      <c r="BB64" s="24"/>
      <c r="BC64" s="24"/>
      <c r="BD64" s="24"/>
      <c r="BE64" s="24"/>
      <c r="BF64" s="24"/>
      <c r="BG64" s="24"/>
      <c r="BH64" s="24"/>
      <c r="BI64" s="24"/>
      <c r="BJ64" s="24"/>
      <c r="BK64" s="24"/>
      <c r="BL64" s="23" t="str">
        <f t="shared" si="22"/>
        <v/>
      </c>
      <c r="BM64" s="24">
        <v>46277</v>
      </c>
      <c r="BN64" s="24"/>
      <c r="BO64" s="24"/>
      <c r="BP64" s="24"/>
      <c r="BQ64" s="24"/>
      <c r="BR64" s="24"/>
      <c r="BS64" s="24"/>
      <c r="BT64" s="24"/>
      <c r="BU64" s="24">
        <v>46277</v>
      </c>
      <c r="BV64" s="24"/>
      <c r="BW64" s="23" t="str">
        <f t="shared" si="23"/>
        <v/>
      </c>
      <c r="BX64" s="24"/>
      <c r="BY64" s="24"/>
      <c r="BZ64" s="24"/>
      <c r="CA64" s="24"/>
      <c r="CB64" s="24"/>
      <c r="CC64" s="24"/>
      <c r="CD64" s="24"/>
      <c r="CE64" s="24"/>
      <c r="CF64" s="24"/>
      <c r="CG64" s="24"/>
      <c r="CH64" s="23" t="str">
        <f t="shared" si="24"/>
        <v/>
      </c>
      <c r="CI64" s="24"/>
      <c r="CJ64" s="24"/>
      <c r="CK64" s="24"/>
      <c r="CL64" s="24"/>
      <c r="CM64" s="24"/>
      <c r="CN64" s="24"/>
      <c r="CO64" s="24"/>
      <c r="CP64" s="24"/>
      <c r="CQ64" s="24"/>
      <c r="CR64" s="24"/>
      <c r="CS64" s="23">
        <f t="shared" si="25"/>
        <v>46287</v>
      </c>
      <c r="CT64" s="24">
        <v>46287</v>
      </c>
      <c r="CU64" s="24"/>
      <c r="CV64" s="24"/>
      <c r="CW64" s="24"/>
      <c r="CX64" s="24"/>
      <c r="CY64" s="24"/>
      <c r="CZ64" s="24"/>
      <c r="DA64" s="24"/>
      <c r="DB64" s="24"/>
      <c r="DC64" s="24"/>
      <c r="DD64" s="23" t="str">
        <f t="shared" si="26"/>
        <v/>
      </c>
      <c r="DE64" s="24"/>
      <c r="DF64" s="24"/>
      <c r="DG64" s="24"/>
      <c r="DH64" s="24"/>
      <c r="DI64" s="24"/>
      <c r="DJ64" s="24"/>
      <c r="DK64" s="24"/>
      <c r="DL64" s="24"/>
      <c r="DM64" s="24"/>
      <c r="DN64" s="24"/>
      <c r="DO64" s="22" t="str">
        <f t="shared" si="27"/>
        <v/>
      </c>
      <c r="DR64" t="s">
        <v>117</v>
      </c>
      <c r="DZ64" s="23" t="str">
        <f t="shared" si="28"/>
        <v/>
      </c>
      <c r="EA64" s="24"/>
      <c r="EB64" s="24"/>
      <c r="EC64" s="24"/>
      <c r="ED64" s="24"/>
      <c r="EE64" s="24"/>
      <c r="EF64" s="24"/>
      <c r="EG64" s="24"/>
      <c r="EH64" s="24"/>
      <c r="EI64" s="24"/>
      <c r="EJ64" s="24"/>
      <c r="EK64" s="23" t="str">
        <f t="shared" si="29"/>
        <v/>
      </c>
      <c r="EL64" s="24"/>
      <c r="EM64" s="24"/>
      <c r="EN64" s="24"/>
      <c r="EO64" s="24"/>
      <c r="EP64" s="24"/>
      <c r="EQ64" s="24"/>
      <c r="ER64" s="24"/>
      <c r="ES64" s="24"/>
      <c r="ET64" s="24"/>
      <c r="EU64" s="24"/>
      <c r="EV64" s="23" t="str">
        <f t="shared" si="30"/>
        <v/>
      </c>
      <c r="EW64" s="24"/>
      <c r="EX64" s="24"/>
      <c r="EY64" s="24"/>
      <c r="EZ64" s="24"/>
      <c r="FA64" s="24"/>
      <c r="FB64" s="24"/>
      <c r="FC64" s="24"/>
      <c r="FD64" s="24"/>
      <c r="FE64" s="24"/>
      <c r="FF64" s="24"/>
      <c r="FG64" s="23" t="str">
        <f t="shared" si="31"/>
        <v/>
      </c>
      <c r="FH64" s="24"/>
      <c r="FI64" s="24"/>
      <c r="FJ64" s="24"/>
      <c r="FK64" s="24"/>
      <c r="FL64" s="24"/>
      <c r="FM64" s="24"/>
      <c r="FN64" s="24"/>
      <c r="FO64" s="24"/>
      <c r="FP64" s="24"/>
      <c r="FQ64" s="24"/>
    </row>
    <row r="65" spans="1:173" x14ac:dyDescent="0.25">
      <c r="A65">
        <v>4187</v>
      </c>
      <c r="B65" t="str">
        <f t="shared" si="16"/>
        <v>CAIU9822290|SGNM32484201</v>
      </c>
      <c r="C65" s="24">
        <v>46227.456990740742</v>
      </c>
      <c r="E65" t="s">
        <v>635</v>
      </c>
      <c r="F65" t="s">
        <v>434</v>
      </c>
      <c r="G65" t="s">
        <v>636</v>
      </c>
      <c r="H65" t="s">
        <v>637</v>
      </c>
      <c r="I65" s="22" t="str">
        <f t="shared" si="17"/>
        <v/>
      </c>
      <c r="J65" t="s">
        <v>637</v>
      </c>
      <c r="K65" t="s">
        <v>117</v>
      </c>
      <c r="L65" t="s">
        <v>117</v>
      </c>
      <c r="M65" t="s">
        <v>117</v>
      </c>
      <c r="N65" t="s">
        <v>117</v>
      </c>
      <c r="O65" t="s">
        <v>117</v>
      </c>
      <c r="P65" t="s">
        <v>117</v>
      </c>
      <c r="Q65" t="s">
        <v>117</v>
      </c>
      <c r="R65" t="s">
        <v>117</v>
      </c>
      <c r="S65" t="s">
        <v>117</v>
      </c>
      <c r="T65" s="22" t="str">
        <f t="shared" si="18"/>
        <v/>
      </c>
      <c r="U65" t="s">
        <v>638</v>
      </c>
      <c r="V65" t="s">
        <v>117</v>
      </c>
      <c r="X65" t="s">
        <v>117</v>
      </c>
      <c r="Y65" t="s">
        <v>117</v>
      </c>
      <c r="AA65" t="s">
        <v>117</v>
      </c>
      <c r="AB65" t="s">
        <v>117</v>
      </c>
      <c r="AC65" t="s">
        <v>117</v>
      </c>
      <c r="AE65" s="23" t="str">
        <f t="shared" si="19"/>
        <v/>
      </c>
      <c r="AF65" s="24">
        <v>46234</v>
      </c>
      <c r="AG65" s="24"/>
      <c r="AH65" s="24"/>
      <c r="AI65" s="24"/>
      <c r="AJ65" s="24"/>
      <c r="AK65" s="24"/>
      <c r="AL65" s="24"/>
      <c r="AM65" s="24"/>
      <c r="AN65" s="24"/>
      <c r="AO65" s="24"/>
      <c r="AP65" s="23" t="str">
        <f t="shared" si="20"/>
        <v/>
      </c>
      <c r="AQ65" s="24">
        <v>46253</v>
      </c>
      <c r="AR65" s="24"/>
      <c r="AS65" s="24"/>
      <c r="AT65" s="24"/>
      <c r="AU65" s="24"/>
      <c r="AV65" s="24"/>
      <c r="AW65" s="24"/>
      <c r="AX65" s="24"/>
      <c r="AY65" s="24"/>
      <c r="AZ65" s="24"/>
      <c r="BA65" s="23" t="str">
        <f t="shared" si="21"/>
        <v/>
      </c>
      <c r="BB65" s="24"/>
      <c r="BC65" s="24"/>
      <c r="BD65" s="24"/>
      <c r="BE65" s="24"/>
      <c r="BF65" s="24"/>
      <c r="BG65" s="24"/>
      <c r="BH65" s="24"/>
      <c r="BI65" s="24"/>
      <c r="BJ65" s="24"/>
      <c r="BK65" s="24"/>
      <c r="BL65" s="23" t="str">
        <f t="shared" si="22"/>
        <v/>
      </c>
      <c r="BM65" s="24"/>
      <c r="BN65" s="24"/>
      <c r="BO65" s="24"/>
      <c r="BP65" s="24"/>
      <c r="BQ65" s="24"/>
      <c r="BR65" s="24"/>
      <c r="BS65" s="24"/>
      <c r="BT65" s="24"/>
      <c r="BU65" s="24"/>
      <c r="BV65" s="24"/>
      <c r="BW65" s="23" t="str">
        <f t="shared" si="23"/>
        <v/>
      </c>
      <c r="BX65" s="24"/>
      <c r="BY65" s="24"/>
      <c r="BZ65" s="24"/>
      <c r="CA65" s="24"/>
      <c r="CB65" s="24"/>
      <c r="CC65" s="24"/>
      <c r="CD65" s="24"/>
      <c r="CE65" s="24"/>
      <c r="CF65" s="24"/>
      <c r="CG65" s="24"/>
      <c r="CH65" s="23" t="str">
        <f t="shared" si="24"/>
        <v/>
      </c>
      <c r="CI65" s="24"/>
      <c r="CJ65" s="24"/>
      <c r="CK65" s="24"/>
      <c r="CL65" s="24"/>
      <c r="CM65" s="24"/>
      <c r="CN65" s="24"/>
      <c r="CO65" s="24"/>
      <c r="CP65" s="24"/>
      <c r="CQ65" s="24"/>
      <c r="CR65" s="24"/>
      <c r="CS65" s="23">
        <f t="shared" si="25"/>
        <v>46258</v>
      </c>
      <c r="CT65" s="24">
        <v>46258</v>
      </c>
      <c r="CU65" s="24"/>
      <c r="CV65" s="24"/>
      <c r="CW65" s="24"/>
      <c r="CX65" s="24"/>
      <c r="CY65" s="24"/>
      <c r="CZ65" s="24"/>
      <c r="DA65" s="24"/>
      <c r="DB65" s="24"/>
      <c r="DC65" s="24"/>
      <c r="DD65" s="23" t="str">
        <f t="shared" si="26"/>
        <v/>
      </c>
      <c r="DE65" s="24"/>
      <c r="DF65" s="24"/>
      <c r="DG65" s="24"/>
      <c r="DH65" s="24"/>
      <c r="DI65" s="24"/>
      <c r="DJ65" s="24"/>
      <c r="DK65" s="24"/>
      <c r="DL65" s="24"/>
      <c r="DM65" s="24"/>
      <c r="DN65" s="24"/>
      <c r="DO65" s="22" t="str">
        <f t="shared" si="27"/>
        <v/>
      </c>
      <c r="DR65" t="s">
        <v>117</v>
      </c>
      <c r="DZ65" s="23" t="str">
        <f t="shared" si="28"/>
        <v/>
      </c>
      <c r="EA65" s="24"/>
      <c r="EB65" s="24"/>
      <c r="EC65" s="24"/>
      <c r="ED65" s="24"/>
      <c r="EE65" s="24"/>
      <c r="EF65" s="24"/>
      <c r="EG65" s="24"/>
      <c r="EH65" s="24"/>
      <c r="EI65" s="24"/>
      <c r="EJ65" s="24"/>
      <c r="EK65" s="23" t="str">
        <f t="shared" si="29"/>
        <v/>
      </c>
      <c r="EL65" s="24"/>
      <c r="EM65" s="24"/>
      <c r="EN65" s="24"/>
      <c r="EO65" s="24"/>
      <c r="EP65" s="24"/>
      <c r="EQ65" s="24"/>
      <c r="ER65" s="24"/>
      <c r="ES65" s="24"/>
      <c r="ET65" s="24"/>
      <c r="EU65" s="24"/>
      <c r="EV65" s="23" t="str">
        <f t="shared" si="30"/>
        <v/>
      </c>
      <c r="EW65" s="24"/>
      <c r="EX65" s="24"/>
      <c r="EY65" s="24"/>
      <c r="EZ65" s="24"/>
      <c r="FA65" s="24"/>
      <c r="FB65" s="24"/>
      <c r="FC65" s="24"/>
      <c r="FD65" s="24"/>
      <c r="FE65" s="24"/>
      <c r="FF65" s="24"/>
      <c r="FG65" s="23" t="str">
        <f t="shared" si="31"/>
        <v/>
      </c>
      <c r="FH65" s="24"/>
      <c r="FI65" s="24"/>
      <c r="FJ65" s="24"/>
      <c r="FK65" s="24"/>
      <c r="FL65" s="24"/>
      <c r="FM65" s="24"/>
      <c r="FN65" s="24"/>
      <c r="FO65" s="24"/>
      <c r="FP65" s="24"/>
      <c r="FQ65" s="24"/>
    </row>
    <row r="66" spans="1:173" x14ac:dyDescent="0.25">
      <c r="A66">
        <v>4188</v>
      </c>
      <c r="B66" t="str">
        <f t="shared" si="16"/>
        <v>FFAU1828707|ONEYKHIG24118500</v>
      </c>
      <c r="C66" s="24">
        <v>46230.313530092593</v>
      </c>
      <c r="E66" t="s">
        <v>639</v>
      </c>
      <c r="F66" t="s">
        <v>434</v>
      </c>
      <c r="G66" t="s">
        <v>640</v>
      </c>
      <c r="H66" t="s">
        <v>641</v>
      </c>
      <c r="I66" s="22" t="str">
        <f t="shared" ref="I66:I70" si="32">IF(COUNTIF(K66:S66,"&lt;&gt;"&amp;"")=0,"",IF(IF(K66&lt;&gt;"",K66,IF(J66&lt;&gt;"",J66,IF(L66&lt;&gt;"",L66,IF(N66&lt;&gt;"",N66,IF(P66&lt;&gt;"",P66,IF(M66&lt;&gt;"",M66,IF(Q66&lt;&gt;"",Q66,IF(O66&lt;&gt;"",O66,IF(S66&lt;&gt;"",S66,IF(R66&lt;&gt;"",R66,""))))))))))=J66,"",IF(K66&lt;&gt;"",K66,IF(J66&lt;&gt;"",J66,IF(L66&lt;&gt;"",L66,IF(N66&lt;&gt;"",N66,IF(P66&lt;&gt;"",P66,IF(M66&lt;&gt;"",M66,IF(Q66&lt;&gt;"",Q66,IF(O66&lt;&gt;"",O66,IF(S66&lt;&gt;"",S66,IF(R66&lt;&gt;"",R66,""))))))))))))</f>
        <v/>
      </c>
      <c r="J66" t="s">
        <v>641</v>
      </c>
      <c r="K66" t="s">
        <v>117</v>
      </c>
      <c r="L66" t="s">
        <v>117</v>
      </c>
      <c r="M66" t="s">
        <v>117</v>
      </c>
      <c r="N66" t="s">
        <v>117</v>
      </c>
      <c r="O66" t="s">
        <v>117</v>
      </c>
      <c r="P66" t="s">
        <v>117</v>
      </c>
      <c r="Q66" t="s">
        <v>117</v>
      </c>
      <c r="R66" t="s">
        <v>117</v>
      </c>
      <c r="S66" t="s">
        <v>117</v>
      </c>
      <c r="T66" s="22" t="str">
        <f t="shared" ref="T66:T70" si="33">IF(COUNTIF(V66:AD66,"&lt;&gt;"&amp;"")=0,"",IF(IF(X66&lt;&gt;"",X66,IF(V66&lt;&gt;"",V66,IF(W66&lt;&gt;"",W66,IF(Y66&lt;&gt;"",Y66,IF(AA66&lt;&gt;"",AA66,IF(U66&lt;&gt;"",U66,IF(AB66&lt;&gt;"",AB66,IF(Z66&lt;&gt;"",Z66,IF(AD66&lt;&gt;"",AD66,IF(AC66&lt;&gt;"",AC66,""))))))))))=U66,"",IF(X66&lt;&gt;"",X66,IF(V66&lt;&gt;"",V66,IF(W66&lt;&gt;"",W66,IF(Y66&lt;&gt;"",Y66,IF(AA66&lt;&gt;"",AA66,IF(U66&lt;&gt;"",U66,IF(AB66&lt;&gt;"",AB66,IF(Z66&lt;&gt;"",Z66,IF(AD66&lt;&gt;"",AD66,IF(AC66&lt;&gt;"",AC66,""))))))))))))</f>
        <v/>
      </c>
      <c r="U66" t="s">
        <v>642</v>
      </c>
      <c r="V66" t="s">
        <v>117</v>
      </c>
      <c r="X66" t="s">
        <v>117</v>
      </c>
      <c r="Y66" t="s">
        <v>117</v>
      </c>
      <c r="AA66" t="s">
        <v>117</v>
      </c>
      <c r="AB66" t="s">
        <v>117</v>
      </c>
      <c r="AC66" t="s">
        <v>117</v>
      </c>
      <c r="AE66" s="23" t="str">
        <f t="shared" ref="AE66:AE70" si="34">IF(COUNTIF(AG66:AO66,"&lt;&gt;"&amp;"")=0,"",IF(IF(AI66&lt;&gt;"",AI66,IF(AG66&lt;&gt;"",AG66,IF(AH66&lt;&gt;"",AH66,IF(AJ66&lt;&gt;"",AJ66,IF(AM66&lt;&gt;"",AM66,IF(AN66&lt;&gt;"",AN66,IF(AF66&lt;&gt;"",AF66,IF(AL66&lt;&gt;"",AL66,IF(AK66&lt;&gt;"",AK66,IF(AO66&lt;&gt;"",AO66,""))))))))))=AF66,"",IF(AI66&lt;&gt;"",AI66,IF(AG66&lt;&gt;"",AG66,IF(AH66&lt;&gt;"",AH66,IF(AJ66&lt;&gt;"",AJ66,IF(AM66&lt;&gt;"",AM66,IF(AN66&lt;&gt;"",AN66,IF(AF66&lt;&gt;"",AF66,IF(AL66&lt;&gt;"",AL66,IF(AK66&lt;&gt;"",AK66,IF(AO66&lt;&gt;"",AO66,""))))))))))))</f>
        <v/>
      </c>
      <c r="AF66" s="24">
        <v>46223</v>
      </c>
      <c r="AG66" s="24"/>
      <c r="AH66" s="24"/>
      <c r="AI66" s="24"/>
      <c r="AJ66" s="24"/>
      <c r="AK66" s="24"/>
      <c r="AL66" s="24"/>
      <c r="AM66" s="24"/>
      <c r="AN66" s="24"/>
      <c r="AO66" s="24"/>
      <c r="AP66" s="23" t="str">
        <f t="shared" ref="AP66:AP70" si="35">IF(COUNTIF(AR66:AZ66,"&lt;&gt;"&amp;"")=0,"",IF(IF(AT66&lt;&gt;"",AT66,IF(AR66&lt;&gt;"",AR66,IF(AS66&lt;&gt;"",AS66,IF(AU66&lt;&gt;"",AU66,IF(AW66&lt;&gt;"",AW66,IF(AZ66&lt;&gt;"",AZ66,IF(AX66&lt;&gt;"",AX66,IF(AV66&lt;&gt;"",AV66,IF(AQ66&lt;&gt;"",AQ66,IF(AY66&lt;&gt;"",AY66,""))))))))))=AQ66,"",IF(AT66&lt;&gt;"",AT66,IF(AR66&lt;&gt;"",AR66,IF(AS66&lt;&gt;"",AS66,IF(AU66&lt;&gt;"",AU66,IF(AW66&lt;&gt;"",AW66,IF(AZ66&lt;&gt;"",AZ66,IF(AX66&lt;&gt;"",AX66,IF(AV66&lt;&gt;"",AV66,IF(AQ66&lt;&gt;"",AQ66,IF(AY66&lt;&gt;"",AY66,""))))))))))))</f>
        <v/>
      </c>
      <c r="AQ66" s="24">
        <v>46252</v>
      </c>
      <c r="AR66" s="24"/>
      <c r="AS66" s="24"/>
      <c r="AT66" s="24"/>
      <c r="AU66" s="24"/>
      <c r="AV66" s="24"/>
      <c r="AW66" s="24"/>
      <c r="AX66" s="24"/>
      <c r="AY66" s="24"/>
      <c r="AZ66" s="24"/>
      <c r="BA66" s="23" t="str">
        <f t="shared" ref="BA66:BA70" si="36">IF(COUNTIF(BC66:BK66,"&lt;&gt;"&amp;"")=0,"",IF(IF(BE66&lt;&gt;"",BE66,IF(BC66&lt;&gt;"",BC66,IF(BD66&lt;&gt;"",BD66,IF(BF66&lt;&gt;"",BF66,IF(BH66&lt;&gt;"",BH66,IF(BB66&lt;&gt;"",BB66,IF(BI66&lt;&gt;"",BI66,IF(BG66&lt;&gt;"",BG66,IF(BK66&lt;&gt;"",BK66,IF(BJ66&lt;&gt;"",BJ66,""))))))))))=BB66,"",IF(BE66&lt;&gt;"",BE66,IF(BC66&lt;&gt;"",BC66,IF(BD66&lt;&gt;"",BD66,IF(BF66&lt;&gt;"",BF66,IF(BH66&lt;&gt;"",BH66,IF(BB66&lt;&gt;"",BB66,IF(BI66&lt;&gt;"",BI66,IF(BG66&lt;&gt;"",BG66,IF(BK66&lt;&gt;"",BK66,IF(BJ66&lt;&gt;"",BJ66,""))))))))))))</f>
        <v/>
      </c>
      <c r="BB66" s="24"/>
      <c r="BC66" s="24"/>
      <c r="BD66" s="24"/>
      <c r="BE66" s="24"/>
      <c r="BF66" s="24"/>
      <c r="BG66" s="24"/>
      <c r="BH66" s="24"/>
      <c r="BI66" s="24"/>
      <c r="BJ66" s="24"/>
      <c r="BK66" s="24"/>
      <c r="BL66" s="23" t="str">
        <f t="shared" ref="BL66:BL70" si="37">IF(COUNTIF(BN66:BV66,"&lt;&gt;"&amp;"")=0,"",IF(IF(BP66&lt;&gt;"",BP66,IF(BN66&lt;&gt;"",BN66,IF(BO66&lt;&gt;"",BO66,IF(BQ66&lt;&gt;"",BQ66,IF(BT66&lt;&gt;"",BT66,IF(BU66&lt;&gt;"",BU66,IF(BM66&lt;&gt;"",BM66,IF(BS66&lt;&gt;"",BS66,IF(BR66&lt;&gt;"",BR66,IF(BV66&lt;&gt;"",BV66,""))))))))))=BM66,"",IF(BP66&lt;&gt;"",BP66,IF(BN66&lt;&gt;"",BN66,IF(BO66&lt;&gt;"",BO66,IF(BQ66&lt;&gt;"",BQ66,IF(BT66&lt;&gt;"",BT66,IF(BU66&lt;&gt;"",BU66,IF(BM66&lt;&gt;"",BM66,IF(BS66&lt;&gt;"",BS66,IF(BR66&lt;&gt;"",BR66,IF(BV66&lt;&gt;"",BV66,""))))))))))))</f>
        <v/>
      </c>
      <c r="BM66" s="24"/>
      <c r="BN66" s="24"/>
      <c r="BO66" s="24"/>
      <c r="BP66" s="24"/>
      <c r="BQ66" s="24"/>
      <c r="BR66" s="24"/>
      <c r="BS66" s="24"/>
      <c r="BT66" s="24"/>
      <c r="BU66" s="24"/>
      <c r="BV66" s="24"/>
      <c r="BW66" s="23" t="str">
        <f t="shared" ref="BW66:BW70" si="38">IF(COUNTIF(BY66:CG66,"&lt;&gt;"&amp;"")=0,"",IF(IF(CA66&lt;&gt;"",CA66,IF(BY66&lt;&gt;"",BY66,IF(BZ66&lt;&gt;"",BZ66,IF(CB66&lt;&gt;"",CB66,IF(CE66&lt;&gt;"",CE66,IF(CF66&lt;&gt;"",CF66,IF(BX66&lt;&gt;"",BX66,IF(CD66&lt;&gt;"",CD66,IF(CC66&lt;&gt;"",CC66,IF(CG66&lt;&gt;"",CG66,""))))))))))=BX66,"",IF(CA66&lt;&gt;"",CA66,IF(BY66&lt;&gt;"",BY66,IF(BZ66&lt;&gt;"",BZ66,IF(CB66&lt;&gt;"",CB66,IF(CE66&lt;&gt;"",CE66,IF(CF66&lt;&gt;"",CF66,IF(BX66&lt;&gt;"",BX66,IF(CD66&lt;&gt;"",CD66,IF(CC66&lt;&gt;"",CC66,IF(CG66&lt;&gt;"",CG66,""))))))))))))</f>
        <v/>
      </c>
      <c r="BX66" s="24"/>
      <c r="BY66" s="24"/>
      <c r="BZ66" s="24"/>
      <c r="CA66" s="24"/>
      <c r="CB66" s="24"/>
      <c r="CC66" s="24"/>
      <c r="CD66" s="24"/>
      <c r="CE66" s="24"/>
      <c r="CF66" s="24"/>
      <c r="CG66" s="24"/>
      <c r="CH66" s="23" t="str">
        <f t="shared" ref="CH66:CH70" si="39">IF(COUNTIF(CJ66:CR66,"&lt;&gt;"&amp;"")=0,"",IF(IF(CL66&lt;&gt;"",CL66,IF(CJ66&lt;&gt;"",CJ66,IF(CK66&lt;&gt;"",CK66,IF(CM66&lt;&gt;"",CM66,IF(CP66&lt;&gt;"",CP66,IF(CQ66&lt;&gt;"",CQ66,IF(CI66&lt;&gt;"",CI66,IF(CO66&lt;&gt;"",CO66,IF(CN66&lt;&gt;"",CN66,IF(CR66&lt;&gt;"",CR66,""))))))))))=CI66,"",IF(CL66&lt;&gt;"",CL66,IF(CJ66&lt;&gt;"",CJ66,IF(CK66&lt;&gt;"",CK66,IF(CM66&lt;&gt;"",CM66,IF(CP66&lt;&gt;"",CP66,IF(CQ66&lt;&gt;"",CQ66,IF(CI66&lt;&gt;"",CI66,IF(CO66&lt;&gt;"",CO66,IF(CN66&lt;&gt;"",CN66,IF(CR66&lt;&gt;"",CR66,""))))))))))))</f>
        <v/>
      </c>
      <c r="CI66" s="24"/>
      <c r="CJ66" s="24"/>
      <c r="CK66" s="24"/>
      <c r="CL66" s="24"/>
      <c r="CM66" s="24"/>
      <c r="CN66" s="24"/>
      <c r="CO66" s="24"/>
      <c r="CP66" s="24"/>
      <c r="CQ66" s="24"/>
      <c r="CR66" s="24"/>
      <c r="CS66" s="23">
        <f t="shared" ref="CS66:CS70" si="40">IF(DD66&lt;&gt;"",DD66,IF(AND(IF(BA66="",BB66,BA66)&lt;&gt;"",IF(IF(CW66&lt;&gt;"",CW66,IF(CU66&lt;&gt;"",CU66,IF(CV66&lt;&gt;"",CV66,IF(CX66&lt;&gt;"",CX66,IF(CZ66&lt;&gt;"",CZ66,IF(CT66&lt;&gt;"",CT66,IF(DA66&lt;&gt;"",DA66,IF(CY66&lt;&gt;"",CY66,IF(DC66&lt;&gt;"",DC66,IF(DB66&lt;&gt;"",DB66,""))))))))))&lt;DATEVALUE("2026-07-29"),DATEVALUE("2026-07-29")+10,IF(CW66&lt;&gt;"",CW66,IF(CU66&lt;&gt;"",CU66,IF(CV66&lt;&gt;"",CV66,IF(CX66&lt;&gt;"",CX66,IF(CZ66&lt;&gt;"",CZ66,IF(CT66&lt;&gt;"",CT66,IF(DA66&lt;&gt;"",DA66,IF(CY66&lt;&gt;"",CY66,IF(DC66&lt;&gt;"",DC66,IF(DB66&lt;&gt;"",DB66,"")))))))))))&lt;IF(BA66="",BB66,BA66)),10+IF(BA66="",BB66,BA66),IF(AND(IF(BA66="",BB66,BA66)="",IF(AP66="",AQ66,AP66)&lt;&gt;"",IF(IF(CW66&lt;&gt;"",CW66,IF(CU66&lt;&gt;"",CU66,IF(CV66&lt;&gt;"",CV66,IF(CX66&lt;&gt;"",CX66,IF(CZ66&lt;&gt;"",CZ66,IF(CT66&lt;&gt;"",CT66,IF(DA66&lt;&gt;"",DA66,IF(CY66&lt;&gt;"",CY66,IF(DC66&lt;&gt;"",DC66,IF(DB66&lt;&gt;"",DB66,""))))))))))&lt;DATEVALUE("2026-07-29"),DATEVALUE("2026-07-29")+10,IF(CW66&lt;&gt;"",CW66,IF(CU66&lt;&gt;"",CU66,IF(CV66&lt;&gt;"",CV66,IF(CX66&lt;&gt;"",CX66,IF(CZ66&lt;&gt;"",CZ66,IF(CT66&lt;&gt;"",CT66,IF(DA66&lt;&gt;"",DA66,IF(CY66&lt;&gt;"",CY66,IF(DC66&lt;&gt;"",DC66,IF(DB66&lt;&gt;"",DB66,"")))))))))))&lt;IF(AP66="",AQ66,AP66)),10+IF(AP66="",AQ66,AP66),IF(IF(CW66&lt;&gt;"",CW66,IF(CU66&lt;&gt;"",CU66,IF(CV66&lt;&gt;"",CV66,IF(CX66&lt;&gt;"",CX66,IF(CZ66&lt;&gt;"",CZ66,IF(CT66&lt;&gt;"",CT66,IF(DA66&lt;&gt;"",DA66,IF(CY66&lt;&gt;"",CY66,IF(DC66&lt;&gt;"",DC66,IF(DB66&lt;&gt;"",DB66,""))))))))))&lt;DATEVALUE("2026-07-29"),DATEVALUE("2026-07-29")+10,IF(CW66&lt;&gt;"",CW66,IF(CU66&lt;&gt;"",CU66,IF(CV66&lt;&gt;"",CV66,IF(CX66&lt;&gt;"",CX66,IF(CZ66&lt;&gt;"",CZ66,IF(CT66&lt;&gt;"",CT66,IF(DA66&lt;&gt;"",DA66,IF(CY66&lt;&gt;"",CY66,IF(DC66&lt;&gt;"",DC66,IF(DB66&lt;&gt;"",DB66,""))))))))))))))</f>
        <v>46257</v>
      </c>
      <c r="CT66" s="24">
        <v>46257</v>
      </c>
      <c r="CU66" s="24"/>
      <c r="CV66" s="24"/>
      <c r="CW66" s="24"/>
      <c r="CX66" s="24"/>
      <c r="CY66" s="24"/>
      <c r="CZ66" s="24"/>
      <c r="DA66" s="24"/>
      <c r="DB66" s="24"/>
      <c r="DC66" s="24"/>
      <c r="DD66" s="23" t="str">
        <f t="shared" ref="DD66:DD70" si="41">IF(DH66&lt;&gt;"",DH66,IF(DF66&lt;&gt;"",DF66,IF(DG66&lt;&gt;"",DG66,IF(DI66&lt;&gt;"",DI66,IF(DL66&lt;&gt;"",DL66,IF(DM66&lt;&gt;"",DM66,IF(DE66&lt;&gt;"",DE66,IF(DK66&lt;&gt;"",DK66,IF(DJ66&lt;&gt;"",DJ66,IF(DN66&lt;&gt;"",DN66,""))))))))))</f>
        <v/>
      </c>
      <c r="DE66" s="24"/>
      <c r="DF66" s="24"/>
      <c r="DG66" s="24"/>
      <c r="DH66" s="24"/>
      <c r="DI66" s="24"/>
      <c r="DJ66" s="24"/>
      <c r="DK66" s="24"/>
      <c r="DL66" s="24"/>
      <c r="DM66" s="24"/>
      <c r="DN66" s="24"/>
      <c r="DO66" s="22" t="str">
        <f t="shared" ref="DO66:DO70" si="42">IF(COUNTIF(DQ66:DY66,"&lt;&gt;"&amp;"")=0,"",IF(IF(DU66&lt;&gt;"",DU66,IF(DP66&lt;&gt;"",DP66,IF(DQ66&lt;&gt;"",DQ66,IF(DS66&lt;&gt;"",DS66,IF(DT66&lt;&gt;"",DT66,IF(DV66&lt;&gt;"",DV66,IF(DR66&lt;&gt;"",DR66,IF(DW66&lt;&gt;"",DW66,IF(DY66&lt;&gt;"",DY66,IF(DX66&lt;&gt;"",DX66,""))))))))))=DP66,"",IF(DU66&lt;&gt;"",DU66,IF(DP66&lt;&gt;"",DP66,IF(DQ66&lt;&gt;"",DQ66,IF(DS66&lt;&gt;"",DS66,IF(DT66&lt;&gt;"",DT66,IF(DV66&lt;&gt;"",DV66,IF(DR66&lt;&gt;"",DR66,IF(DW66&lt;&gt;"",DW66,IF(DY66&lt;&gt;"",DY66,IF(DX66&lt;&gt;"",DX66,""))))))))))))</f>
        <v/>
      </c>
      <c r="DR66" t="s">
        <v>117</v>
      </c>
      <c r="DZ66" s="23" t="str">
        <f t="shared" ref="DZ66:DZ70" si="43">IF(COUNTIF(EB66:EJ66,"&lt;&gt;"&amp;"")=0,"",IF(IF(ED66&lt;&gt;"",ED66,IF(EB66&lt;&gt;"",EB66,IF(EC66&lt;&gt;"",EC66,IF(EE66&lt;&gt;"",EE66,IF(EG66&lt;&gt;"",EG66,IF(EA66&lt;&gt;"",EA66,IF(EH66&lt;&gt;"",EH66,IF(EF66&lt;&gt;"",EF66,IF(EJ66&lt;&gt;"",EJ66,IF(EI66&lt;&gt;"",EI66,""))))))))))=EA66,"",IF(ED66&lt;&gt;"",ED66,IF(EB66&lt;&gt;"",EB66,IF(EC66&lt;&gt;"",EC66,IF(EE66&lt;&gt;"",EE66,IF(EG66&lt;&gt;"",EG66,IF(EA66&lt;&gt;"",EA66,IF(EH66&lt;&gt;"",EH66,IF(EF66&lt;&gt;"",EF66,IF(EJ66&lt;&gt;"",EJ66,IF(EI66&lt;&gt;"",EI66,""))))))))))))</f>
        <v/>
      </c>
      <c r="EA66" s="24"/>
      <c r="EB66" s="24"/>
      <c r="EC66" s="24"/>
      <c r="ED66" s="24"/>
      <c r="EE66" s="24"/>
      <c r="EF66" s="24"/>
      <c r="EG66" s="24"/>
      <c r="EH66" s="24"/>
      <c r="EI66" s="24"/>
      <c r="EJ66" s="24"/>
      <c r="EK66" s="23" t="str">
        <f t="shared" ref="EK66:EK70" si="44">IF(COUNTIF(EM66:EU66,"&lt;&gt;"&amp;"")=0,"",IF(IF(EO66&lt;&gt;"",EO66,IF(EM66&lt;&gt;"",EM66,IF(EN66&lt;&gt;"",EN66,IF(EP66&lt;&gt;"",EP66,IF(ES66&lt;&gt;"",ES66,IF(ET66&lt;&gt;"",ET66,IF(EL66&lt;&gt;"",EL66,IF(ER66&lt;&gt;"",ER66,IF(EQ66&lt;&gt;"",EQ66,IF(EU66&lt;&gt;"",EU66,""))))))))))=EL66,"",IF(EO66&lt;&gt;"",EO66,IF(EM66&lt;&gt;"",EM66,IF(EN66&lt;&gt;"",EN66,IF(EP66&lt;&gt;"",EP66,IF(ES66&lt;&gt;"",ES66,IF(ET66&lt;&gt;"",ET66,IF(EL66&lt;&gt;"",EL66,IF(ER66&lt;&gt;"",ER66,IF(EQ66&lt;&gt;"",EQ66,IF(EU66&lt;&gt;"",EU66,""))))))))))))</f>
        <v/>
      </c>
      <c r="EL66" s="24"/>
      <c r="EM66" s="24"/>
      <c r="EN66" s="24"/>
      <c r="EO66" s="24"/>
      <c r="EP66" s="24"/>
      <c r="EQ66" s="24"/>
      <c r="ER66" s="24"/>
      <c r="ES66" s="24"/>
      <c r="ET66" s="24"/>
      <c r="EU66" s="24"/>
      <c r="EV66" s="23" t="str">
        <f t="shared" ref="EV66:EV70" si="45">IF(COUNTIF(EX66:FF66,"&lt;&gt;"&amp;"")=0,"",IF(IF(EZ66&lt;&gt;"",EZ66,IF(EX66&lt;&gt;"",EX66,IF(EY66&lt;&gt;"",EY66,IF(FA66&lt;&gt;"",FA66,IF(FD66&lt;&gt;"",FD66,IF(FE66&lt;&gt;"",FE66,IF(EW66&lt;&gt;"",EW66,IF(FC66&lt;&gt;"",FC66,IF(FB66&lt;&gt;"",FB66,IF(FF66&lt;&gt;"",FF66,""))))))))))=EW66,"",IF(EZ66&lt;&gt;"",EZ66,IF(EX66&lt;&gt;"",EX66,IF(EY66&lt;&gt;"",EY66,IF(FA66&lt;&gt;"",FA66,IF(FD66&lt;&gt;"",FD66,IF(FE66&lt;&gt;"",FE66,IF(EW66&lt;&gt;"",EW66,IF(FC66&lt;&gt;"",FC66,IF(FB66&lt;&gt;"",FB66,IF(FF66&lt;&gt;"",FF66,""))))))))))))</f>
        <v/>
      </c>
      <c r="EW66" s="24"/>
      <c r="EX66" s="24"/>
      <c r="EY66" s="24"/>
      <c r="EZ66" s="24"/>
      <c r="FA66" s="24"/>
      <c r="FB66" s="24"/>
      <c r="FC66" s="24"/>
      <c r="FD66" s="24"/>
      <c r="FE66" s="24"/>
      <c r="FF66" s="24"/>
      <c r="FG66" s="23" t="str">
        <f t="shared" ref="FG66:FG70" si="46">IF(COUNTIF(FI66:FQ66,"&lt;&gt;"&amp;"")=0,"",IF(IF(FK66&lt;&gt;"",FK66,IF(FI66&lt;&gt;"",FI66,IF(FJ66&lt;&gt;"",FJ66,IF(FL66&lt;&gt;"",FL66,IF(FO66&lt;&gt;"",FO66,IF(FP66&lt;&gt;"",FP66,IF(FH66&lt;&gt;"",FH66,IF(FN66&lt;&gt;"",FN66,IF(FM66&lt;&gt;"",FM66,IF(FQ66&lt;&gt;"",FQ66,""))))))))))=FH66,"",IF(FK66&lt;&gt;"",FK66,IF(FI66&lt;&gt;"",FI66,IF(FJ66&lt;&gt;"",FJ66,IF(FL66&lt;&gt;"",FL66,IF(FO66&lt;&gt;"",FO66,IF(FP66&lt;&gt;"",FP66,IF(FH66&lt;&gt;"",FH66,IF(FN66&lt;&gt;"",FN66,IF(FM66&lt;&gt;"",FM66,IF(FQ66&lt;&gt;"",FQ66,""))))))))))))</f>
        <v/>
      </c>
      <c r="FH66" s="24"/>
      <c r="FI66" s="24"/>
      <c r="FJ66" s="24"/>
      <c r="FK66" s="24"/>
      <c r="FL66" s="24"/>
      <c r="FM66" s="24"/>
      <c r="FN66" s="24"/>
      <c r="FO66" s="24"/>
      <c r="FP66" s="24"/>
      <c r="FQ66" s="24"/>
    </row>
    <row r="67" spans="1:173" x14ac:dyDescent="0.25">
      <c r="A67">
        <v>4189</v>
      </c>
      <c r="B67" t="str">
        <f t="shared" si="16"/>
        <v>TIIU6360190|</v>
      </c>
      <c r="C67" s="24">
        <v>46230.368275462963</v>
      </c>
      <c r="E67" t="s">
        <v>643</v>
      </c>
      <c r="F67" t="s">
        <v>434</v>
      </c>
      <c r="G67" t="s">
        <v>644</v>
      </c>
      <c r="I67" s="22" t="str">
        <f t="shared" si="32"/>
        <v/>
      </c>
      <c r="K67" t="s">
        <v>117</v>
      </c>
      <c r="L67" t="s">
        <v>117</v>
      </c>
      <c r="M67" t="s">
        <v>117</v>
      </c>
      <c r="N67" t="s">
        <v>117</v>
      </c>
      <c r="O67" t="s">
        <v>117</v>
      </c>
      <c r="P67" t="s">
        <v>117</v>
      </c>
      <c r="Q67" t="s">
        <v>117</v>
      </c>
      <c r="R67" t="s">
        <v>117</v>
      </c>
      <c r="S67" t="s">
        <v>117</v>
      </c>
      <c r="T67" s="22" t="str">
        <f t="shared" si="33"/>
        <v/>
      </c>
      <c r="U67" t="s">
        <v>645</v>
      </c>
      <c r="V67" t="s">
        <v>117</v>
      </c>
      <c r="X67" t="s">
        <v>117</v>
      </c>
      <c r="Y67" t="s">
        <v>117</v>
      </c>
      <c r="AA67" t="s">
        <v>117</v>
      </c>
      <c r="AB67" t="s">
        <v>117</v>
      </c>
      <c r="AC67" t="s">
        <v>117</v>
      </c>
      <c r="AE67" s="23" t="str">
        <f t="shared" si="34"/>
        <v/>
      </c>
      <c r="AF67" s="24">
        <v>46234</v>
      </c>
      <c r="AG67" s="24"/>
      <c r="AH67" s="24"/>
      <c r="AI67" s="24"/>
      <c r="AJ67" s="24"/>
      <c r="AK67" s="24"/>
      <c r="AL67" s="24"/>
      <c r="AM67" s="24"/>
      <c r="AN67" s="24"/>
      <c r="AO67" s="24"/>
      <c r="AP67" s="23" t="str">
        <f t="shared" si="35"/>
        <v/>
      </c>
      <c r="AQ67" s="24">
        <v>46272</v>
      </c>
      <c r="AR67" s="24"/>
      <c r="AS67" s="24"/>
      <c r="AT67" s="24"/>
      <c r="AU67" s="24"/>
      <c r="AV67" s="24"/>
      <c r="AW67" s="24"/>
      <c r="AX67" s="24"/>
      <c r="AY67" s="24"/>
      <c r="AZ67" s="24"/>
      <c r="BA67" s="23" t="str">
        <f t="shared" si="36"/>
        <v/>
      </c>
      <c r="BB67" s="24"/>
      <c r="BC67" s="24"/>
      <c r="BD67" s="24"/>
      <c r="BE67" s="24"/>
      <c r="BF67" s="24"/>
      <c r="BG67" s="24"/>
      <c r="BH67" s="24"/>
      <c r="BI67" s="24"/>
      <c r="BJ67" s="24"/>
      <c r="BK67" s="24"/>
      <c r="BL67" s="23" t="str">
        <f t="shared" si="37"/>
        <v/>
      </c>
      <c r="BM67" s="24"/>
      <c r="BN67" s="24"/>
      <c r="BO67" s="24"/>
      <c r="BP67" s="24"/>
      <c r="BQ67" s="24"/>
      <c r="BR67" s="24"/>
      <c r="BS67" s="24"/>
      <c r="BT67" s="24"/>
      <c r="BU67" s="24"/>
      <c r="BV67" s="24"/>
      <c r="BW67" s="23" t="str">
        <f t="shared" si="38"/>
        <v/>
      </c>
      <c r="BX67" s="24"/>
      <c r="BY67" s="24"/>
      <c r="BZ67" s="24"/>
      <c r="CA67" s="24"/>
      <c r="CB67" s="24"/>
      <c r="CC67" s="24"/>
      <c r="CD67" s="24"/>
      <c r="CE67" s="24"/>
      <c r="CF67" s="24"/>
      <c r="CG67" s="24"/>
      <c r="CH67" s="23" t="str">
        <f t="shared" si="39"/>
        <v/>
      </c>
      <c r="CI67" s="24"/>
      <c r="CJ67" s="24"/>
      <c r="CK67" s="24"/>
      <c r="CL67" s="24"/>
      <c r="CM67" s="24"/>
      <c r="CN67" s="24"/>
      <c r="CO67" s="24"/>
      <c r="CP67" s="24"/>
      <c r="CQ67" s="24"/>
      <c r="CR67" s="24"/>
      <c r="CS67" s="23">
        <f t="shared" si="40"/>
        <v>46277</v>
      </c>
      <c r="CT67" s="24">
        <v>46277</v>
      </c>
      <c r="CU67" s="24"/>
      <c r="CV67" s="24"/>
      <c r="CW67" s="24"/>
      <c r="CX67" s="24"/>
      <c r="CY67" s="24"/>
      <c r="CZ67" s="24"/>
      <c r="DA67" s="24"/>
      <c r="DB67" s="24"/>
      <c r="DC67" s="24"/>
      <c r="DD67" s="23" t="str">
        <f t="shared" si="41"/>
        <v/>
      </c>
      <c r="DE67" s="24"/>
      <c r="DF67" s="24"/>
      <c r="DG67" s="24"/>
      <c r="DH67" s="24"/>
      <c r="DI67" s="24"/>
      <c r="DJ67" s="24"/>
      <c r="DK67" s="24"/>
      <c r="DL67" s="24"/>
      <c r="DM67" s="24"/>
      <c r="DN67" s="24"/>
      <c r="DO67" s="22" t="str">
        <f t="shared" si="42"/>
        <v/>
      </c>
      <c r="DR67" t="s">
        <v>117</v>
      </c>
      <c r="DZ67" s="23" t="str">
        <f t="shared" si="43"/>
        <v/>
      </c>
      <c r="EA67" s="24"/>
      <c r="EB67" s="24"/>
      <c r="EC67" s="24"/>
      <c r="ED67" s="24"/>
      <c r="EE67" s="24"/>
      <c r="EF67" s="24"/>
      <c r="EG67" s="24"/>
      <c r="EH67" s="24"/>
      <c r="EI67" s="24"/>
      <c r="EJ67" s="24"/>
      <c r="EK67" s="23" t="str">
        <f t="shared" si="44"/>
        <v/>
      </c>
      <c r="EL67" s="24"/>
      <c r="EM67" s="24"/>
      <c r="EN67" s="24"/>
      <c r="EO67" s="24"/>
      <c r="EP67" s="24"/>
      <c r="EQ67" s="24"/>
      <c r="ER67" s="24"/>
      <c r="ES67" s="24"/>
      <c r="ET67" s="24"/>
      <c r="EU67" s="24"/>
      <c r="EV67" s="23" t="str">
        <f t="shared" si="45"/>
        <v/>
      </c>
      <c r="EW67" s="24"/>
      <c r="EX67" s="24"/>
      <c r="EY67" s="24"/>
      <c r="EZ67" s="24"/>
      <c r="FA67" s="24"/>
      <c r="FB67" s="24"/>
      <c r="FC67" s="24"/>
      <c r="FD67" s="24"/>
      <c r="FE67" s="24"/>
      <c r="FF67" s="24"/>
      <c r="FG67" s="23" t="str">
        <f t="shared" si="46"/>
        <v/>
      </c>
      <c r="FH67" s="24"/>
      <c r="FI67" s="24"/>
      <c r="FJ67" s="24"/>
      <c r="FK67" s="24"/>
      <c r="FL67" s="24"/>
      <c r="FM67" s="24"/>
      <c r="FN67" s="24"/>
      <c r="FO67" s="24"/>
      <c r="FP67" s="24"/>
      <c r="FQ67" s="24"/>
    </row>
    <row r="68" spans="1:173" x14ac:dyDescent="0.25">
      <c r="A68">
        <v>4190</v>
      </c>
      <c r="B68" t="str">
        <f t="shared" si="16"/>
        <v>HMMU6478661|HANM98387500</v>
      </c>
      <c r="C68" s="24">
        <v>46231.285300925927</v>
      </c>
      <c r="E68" t="s">
        <v>646</v>
      </c>
      <c r="F68" t="s">
        <v>434</v>
      </c>
      <c r="G68" t="s">
        <v>647</v>
      </c>
      <c r="H68" t="s">
        <v>648</v>
      </c>
      <c r="I68" s="22" t="str">
        <f t="shared" si="32"/>
        <v/>
      </c>
      <c r="J68" t="s">
        <v>648</v>
      </c>
      <c r="K68" t="s">
        <v>117</v>
      </c>
      <c r="L68" t="s">
        <v>117</v>
      </c>
      <c r="M68" t="s">
        <v>117</v>
      </c>
      <c r="N68" t="s">
        <v>117</v>
      </c>
      <c r="O68" t="s">
        <v>117</v>
      </c>
      <c r="P68" t="s">
        <v>117</v>
      </c>
      <c r="Q68" t="s">
        <v>117</v>
      </c>
      <c r="R68" t="s">
        <v>117</v>
      </c>
      <c r="S68" t="s">
        <v>117</v>
      </c>
      <c r="T68" s="22" t="str">
        <f t="shared" si="33"/>
        <v/>
      </c>
      <c r="U68" t="s">
        <v>649</v>
      </c>
      <c r="V68" t="s">
        <v>117</v>
      </c>
      <c r="X68" t="s">
        <v>117</v>
      </c>
      <c r="Y68" t="s">
        <v>117</v>
      </c>
      <c r="AA68" t="s">
        <v>117</v>
      </c>
      <c r="AB68" t="s">
        <v>117</v>
      </c>
      <c r="AC68" t="s">
        <v>117</v>
      </c>
      <c r="AE68" s="23" t="str">
        <f t="shared" si="34"/>
        <v/>
      </c>
      <c r="AF68" s="24">
        <v>46236</v>
      </c>
      <c r="AG68" s="24"/>
      <c r="AH68" s="24"/>
      <c r="AI68" s="24"/>
      <c r="AJ68" s="24"/>
      <c r="AK68" s="24"/>
      <c r="AL68" s="24"/>
      <c r="AM68" s="24"/>
      <c r="AN68" s="24"/>
      <c r="AO68" s="24"/>
      <c r="AP68" s="23" t="str">
        <f t="shared" si="35"/>
        <v/>
      </c>
      <c r="AQ68" s="24">
        <v>46252</v>
      </c>
      <c r="AR68" s="24"/>
      <c r="AS68" s="24"/>
      <c r="AT68" s="24"/>
      <c r="AU68" s="24"/>
      <c r="AV68" s="24"/>
      <c r="AW68" s="24"/>
      <c r="AX68" s="24"/>
      <c r="AY68" s="24"/>
      <c r="AZ68" s="24"/>
      <c r="BA68" s="23" t="str">
        <f t="shared" si="36"/>
        <v/>
      </c>
      <c r="BB68" s="24"/>
      <c r="BC68" s="24"/>
      <c r="BD68" s="24"/>
      <c r="BE68" s="24"/>
      <c r="BF68" s="24"/>
      <c r="BG68" s="24"/>
      <c r="BH68" s="24"/>
      <c r="BI68" s="24"/>
      <c r="BJ68" s="24"/>
      <c r="BK68" s="24"/>
      <c r="BL68" s="23" t="str">
        <f t="shared" si="37"/>
        <v/>
      </c>
      <c r="BM68" s="24"/>
      <c r="BN68" s="24"/>
      <c r="BO68" s="24"/>
      <c r="BP68" s="24"/>
      <c r="BQ68" s="24"/>
      <c r="BR68" s="24"/>
      <c r="BS68" s="24"/>
      <c r="BT68" s="24"/>
      <c r="BU68" s="24"/>
      <c r="BV68" s="24"/>
      <c r="BW68" s="23" t="str">
        <f t="shared" si="38"/>
        <v/>
      </c>
      <c r="BX68" s="24"/>
      <c r="BY68" s="24"/>
      <c r="BZ68" s="24"/>
      <c r="CA68" s="24"/>
      <c r="CB68" s="24"/>
      <c r="CC68" s="24"/>
      <c r="CD68" s="24"/>
      <c r="CE68" s="24"/>
      <c r="CF68" s="24"/>
      <c r="CG68" s="24"/>
      <c r="CH68" s="23" t="str">
        <f t="shared" si="39"/>
        <v/>
      </c>
      <c r="CI68" s="24"/>
      <c r="CJ68" s="24"/>
      <c r="CK68" s="24"/>
      <c r="CL68" s="24"/>
      <c r="CM68" s="24"/>
      <c r="CN68" s="24"/>
      <c r="CO68" s="24"/>
      <c r="CP68" s="24"/>
      <c r="CQ68" s="24"/>
      <c r="CR68" s="24"/>
      <c r="CS68" s="23">
        <f t="shared" si="40"/>
        <v>46257</v>
      </c>
      <c r="CT68" s="24">
        <v>46257</v>
      </c>
      <c r="CU68" s="24"/>
      <c r="CV68" s="24"/>
      <c r="CW68" s="24"/>
      <c r="CX68" s="24"/>
      <c r="CY68" s="24"/>
      <c r="CZ68" s="24"/>
      <c r="DA68" s="24"/>
      <c r="DB68" s="24"/>
      <c r="DC68" s="24"/>
      <c r="DD68" s="23" t="str">
        <f t="shared" si="41"/>
        <v/>
      </c>
      <c r="DE68" s="24"/>
      <c r="DF68" s="24"/>
      <c r="DG68" s="24"/>
      <c r="DH68" s="24"/>
      <c r="DI68" s="24"/>
      <c r="DJ68" s="24"/>
      <c r="DK68" s="24"/>
      <c r="DL68" s="24"/>
      <c r="DM68" s="24"/>
      <c r="DN68" s="24"/>
      <c r="DO68" s="22" t="str">
        <f t="shared" si="42"/>
        <v/>
      </c>
      <c r="DR68" t="s">
        <v>117</v>
      </c>
      <c r="DZ68" s="23" t="str">
        <f t="shared" si="43"/>
        <v/>
      </c>
      <c r="EA68" s="24"/>
      <c r="EB68" s="24"/>
      <c r="EC68" s="24"/>
      <c r="ED68" s="24"/>
      <c r="EE68" s="24"/>
      <c r="EF68" s="24"/>
      <c r="EG68" s="24"/>
      <c r="EH68" s="24"/>
      <c r="EI68" s="24"/>
      <c r="EJ68" s="24"/>
      <c r="EK68" s="23" t="str">
        <f t="shared" si="44"/>
        <v/>
      </c>
      <c r="EL68" s="24"/>
      <c r="EM68" s="24"/>
      <c r="EN68" s="24"/>
      <c r="EO68" s="24"/>
      <c r="EP68" s="24"/>
      <c r="EQ68" s="24"/>
      <c r="ER68" s="24"/>
      <c r="ES68" s="24"/>
      <c r="ET68" s="24"/>
      <c r="EU68" s="24"/>
      <c r="EV68" s="23" t="str">
        <f t="shared" si="45"/>
        <v/>
      </c>
      <c r="EW68" s="24"/>
      <c r="EX68" s="24"/>
      <c r="EY68" s="24"/>
      <c r="EZ68" s="24"/>
      <c r="FA68" s="24"/>
      <c r="FB68" s="24"/>
      <c r="FC68" s="24"/>
      <c r="FD68" s="24"/>
      <c r="FE68" s="24"/>
      <c r="FF68" s="24"/>
      <c r="FG68" s="23" t="str">
        <f t="shared" si="46"/>
        <v/>
      </c>
      <c r="FH68" s="24"/>
      <c r="FI68" s="24"/>
      <c r="FJ68" s="24"/>
      <c r="FK68" s="24"/>
      <c r="FL68" s="24"/>
      <c r="FM68" s="24"/>
      <c r="FN68" s="24"/>
      <c r="FO68" s="24"/>
      <c r="FP68" s="24"/>
      <c r="FQ68" s="24"/>
    </row>
    <row r="69" spans="1:173" x14ac:dyDescent="0.25">
      <c r="A69">
        <v>4191</v>
      </c>
      <c r="B69" t="str">
        <f t="shared" si="16"/>
        <v>TXGU8538963|HANM98387500</v>
      </c>
      <c r="C69" s="24">
        <v>46231.288738425923</v>
      </c>
      <c r="E69" t="s">
        <v>650</v>
      </c>
      <c r="F69" t="s">
        <v>434</v>
      </c>
      <c r="G69" t="s">
        <v>651</v>
      </c>
      <c r="H69" t="s">
        <v>648</v>
      </c>
      <c r="I69" s="22" t="str">
        <f t="shared" si="32"/>
        <v/>
      </c>
      <c r="J69" t="s">
        <v>648</v>
      </c>
      <c r="K69" t="s">
        <v>117</v>
      </c>
      <c r="L69" t="s">
        <v>117</v>
      </c>
      <c r="M69" t="s">
        <v>117</v>
      </c>
      <c r="N69" t="s">
        <v>117</v>
      </c>
      <c r="O69" t="s">
        <v>117</v>
      </c>
      <c r="P69" t="s">
        <v>117</v>
      </c>
      <c r="Q69" t="s">
        <v>117</v>
      </c>
      <c r="R69" t="s">
        <v>117</v>
      </c>
      <c r="S69" t="s">
        <v>117</v>
      </c>
      <c r="T69" s="22" t="str">
        <f t="shared" si="33"/>
        <v/>
      </c>
      <c r="U69" t="s">
        <v>652</v>
      </c>
      <c r="V69" t="s">
        <v>117</v>
      </c>
      <c r="X69" t="s">
        <v>117</v>
      </c>
      <c r="Y69" t="s">
        <v>117</v>
      </c>
      <c r="AA69" t="s">
        <v>117</v>
      </c>
      <c r="AB69" t="s">
        <v>117</v>
      </c>
      <c r="AC69" t="s">
        <v>117</v>
      </c>
      <c r="AE69" s="23" t="str">
        <f t="shared" si="34"/>
        <v/>
      </c>
      <c r="AF69" s="24">
        <v>46236</v>
      </c>
      <c r="AG69" s="24"/>
      <c r="AH69" s="24"/>
      <c r="AI69" s="24"/>
      <c r="AJ69" s="24"/>
      <c r="AK69" s="24"/>
      <c r="AL69" s="24"/>
      <c r="AM69" s="24"/>
      <c r="AN69" s="24"/>
      <c r="AO69" s="24"/>
      <c r="AP69" s="23" t="str">
        <f t="shared" si="35"/>
        <v/>
      </c>
      <c r="AQ69" s="24">
        <v>46252</v>
      </c>
      <c r="AR69" s="24"/>
      <c r="AS69" s="24"/>
      <c r="AT69" s="24"/>
      <c r="AU69" s="24"/>
      <c r="AV69" s="24"/>
      <c r="AW69" s="24"/>
      <c r="AX69" s="24"/>
      <c r="AY69" s="24"/>
      <c r="AZ69" s="24"/>
      <c r="BA69" s="23" t="str">
        <f t="shared" si="36"/>
        <v/>
      </c>
      <c r="BB69" s="24"/>
      <c r="BC69" s="24"/>
      <c r="BD69" s="24"/>
      <c r="BE69" s="24"/>
      <c r="BF69" s="24"/>
      <c r="BG69" s="24"/>
      <c r="BH69" s="24"/>
      <c r="BI69" s="24"/>
      <c r="BJ69" s="24"/>
      <c r="BK69" s="24"/>
      <c r="BL69" s="23" t="str">
        <f t="shared" si="37"/>
        <v/>
      </c>
      <c r="BM69" s="24"/>
      <c r="BN69" s="24"/>
      <c r="BO69" s="24"/>
      <c r="BP69" s="24"/>
      <c r="BQ69" s="24"/>
      <c r="BR69" s="24"/>
      <c r="BS69" s="24"/>
      <c r="BT69" s="24"/>
      <c r="BU69" s="24"/>
      <c r="BV69" s="24"/>
      <c r="BW69" s="23" t="str">
        <f t="shared" si="38"/>
        <v/>
      </c>
      <c r="BX69" s="24"/>
      <c r="BY69" s="24"/>
      <c r="BZ69" s="24"/>
      <c r="CA69" s="24"/>
      <c r="CB69" s="24"/>
      <c r="CC69" s="24"/>
      <c r="CD69" s="24"/>
      <c r="CE69" s="24"/>
      <c r="CF69" s="24"/>
      <c r="CG69" s="24"/>
      <c r="CH69" s="23" t="str">
        <f t="shared" si="39"/>
        <v/>
      </c>
      <c r="CI69" s="24"/>
      <c r="CJ69" s="24"/>
      <c r="CK69" s="24"/>
      <c r="CL69" s="24"/>
      <c r="CM69" s="24"/>
      <c r="CN69" s="24"/>
      <c r="CO69" s="24"/>
      <c r="CP69" s="24"/>
      <c r="CQ69" s="24"/>
      <c r="CR69" s="24"/>
      <c r="CS69" s="23">
        <f t="shared" si="40"/>
        <v>46257</v>
      </c>
      <c r="CT69" s="24">
        <v>46257</v>
      </c>
      <c r="CU69" s="24"/>
      <c r="CV69" s="24"/>
      <c r="CW69" s="24"/>
      <c r="CX69" s="24"/>
      <c r="CY69" s="24"/>
      <c r="CZ69" s="24"/>
      <c r="DA69" s="24"/>
      <c r="DB69" s="24"/>
      <c r="DC69" s="24"/>
      <c r="DD69" s="23" t="str">
        <f t="shared" si="41"/>
        <v/>
      </c>
      <c r="DE69" s="24"/>
      <c r="DF69" s="24"/>
      <c r="DG69" s="24"/>
      <c r="DH69" s="24"/>
      <c r="DI69" s="24"/>
      <c r="DJ69" s="24"/>
      <c r="DK69" s="24"/>
      <c r="DL69" s="24"/>
      <c r="DM69" s="24"/>
      <c r="DN69" s="24"/>
      <c r="DO69" s="22" t="str">
        <f t="shared" si="42"/>
        <v/>
      </c>
      <c r="DR69" t="s">
        <v>117</v>
      </c>
      <c r="DZ69" s="23" t="str">
        <f t="shared" si="43"/>
        <v/>
      </c>
      <c r="EA69" s="24"/>
      <c r="EB69" s="24"/>
      <c r="EC69" s="24"/>
      <c r="ED69" s="24"/>
      <c r="EE69" s="24"/>
      <c r="EF69" s="24"/>
      <c r="EG69" s="24"/>
      <c r="EH69" s="24"/>
      <c r="EI69" s="24"/>
      <c r="EJ69" s="24"/>
      <c r="EK69" s="23" t="str">
        <f t="shared" si="44"/>
        <v/>
      </c>
      <c r="EL69" s="24"/>
      <c r="EM69" s="24"/>
      <c r="EN69" s="24"/>
      <c r="EO69" s="24"/>
      <c r="EP69" s="24"/>
      <c r="EQ69" s="24"/>
      <c r="ER69" s="24"/>
      <c r="ES69" s="24"/>
      <c r="ET69" s="24"/>
      <c r="EU69" s="24"/>
      <c r="EV69" s="23" t="str">
        <f t="shared" si="45"/>
        <v/>
      </c>
      <c r="EW69" s="24"/>
      <c r="EX69" s="24"/>
      <c r="EY69" s="24"/>
      <c r="EZ69" s="24"/>
      <c r="FA69" s="24"/>
      <c r="FB69" s="24"/>
      <c r="FC69" s="24"/>
      <c r="FD69" s="24"/>
      <c r="FE69" s="24"/>
      <c r="FF69" s="24"/>
      <c r="FG69" s="23" t="str">
        <f t="shared" si="46"/>
        <v/>
      </c>
      <c r="FH69" s="24"/>
      <c r="FI69" s="24"/>
      <c r="FJ69" s="24"/>
      <c r="FK69" s="24"/>
      <c r="FL69" s="24"/>
      <c r="FM69" s="24"/>
      <c r="FN69" s="24"/>
      <c r="FO69" s="24"/>
      <c r="FP69" s="24"/>
      <c r="FQ69" s="24"/>
    </row>
    <row r="70" spans="1:173" x14ac:dyDescent="0.25">
      <c r="A70">
        <v>4192</v>
      </c>
      <c r="B70" t="str">
        <f t="shared" si="16"/>
        <v>WHSU5542248|WHLC100GX13071</v>
      </c>
      <c r="C70" s="24">
        <v>46231.349039351851</v>
      </c>
      <c r="E70" t="s">
        <v>653</v>
      </c>
      <c r="F70" t="s">
        <v>434</v>
      </c>
      <c r="G70" t="s">
        <v>654</v>
      </c>
      <c r="H70" t="s">
        <v>655</v>
      </c>
      <c r="I70" s="22" t="str">
        <f t="shared" si="32"/>
        <v/>
      </c>
      <c r="J70" t="s">
        <v>655</v>
      </c>
      <c r="K70" t="s">
        <v>117</v>
      </c>
      <c r="L70" t="s">
        <v>117</v>
      </c>
      <c r="M70" t="s">
        <v>117</v>
      </c>
      <c r="N70" t="s">
        <v>655</v>
      </c>
      <c r="O70" t="s">
        <v>117</v>
      </c>
      <c r="P70" t="s">
        <v>117</v>
      </c>
      <c r="Q70" t="s">
        <v>117</v>
      </c>
      <c r="R70" t="s">
        <v>655</v>
      </c>
      <c r="S70" t="s">
        <v>117</v>
      </c>
      <c r="T70" s="22" t="str">
        <f t="shared" si="33"/>
        <v/>
      </c>
      <c r="U70" t="s">
        <v>622</v>
      </c>
      <c r="V70" t="s">
        <v>117</v>
      </c>
      <c r="X70" t="s">
        <v>117</v>
      </c>
      <c r="Y70" t="s">
        <v>622</v>
      </c>
      <c r="AA70" t="s">
        <v>117</v>
      </c>
      <c r="AB70" t="s">
        <v>117</v>
      </c>
      <c r="AC70" t="s">
        <v>622</v>
      </c>
      <c r="AE70" s="23" t="str">
        <f t="shared" si="34"/>
        <v/>
      </c>
      <c r="AF70" s="24">
        <v>46233</v>
      </c>
      <c r="AG70" s="24"/>
      <c r="AH70" s="24"/>
      <c r="AI70" s="24"/>
      <c r="AJ70" s="24"/>
      <c r="AK70" s="24"/>
      <c r="AL70" s="24"/>
      <c r="AM70" s="24"/>
      <c r="AN70" s="24"/>
      <c r="AO70" s="24"/>
      <c r="AP70" s="23">
        <f t="shared" si="35"/>
        <v>46261</v>
      </c>
      <c r="AQ70" s="24">
        <v>46258</v>
      </c>
      <c r="AR70" s="24"/>
      <c r="AS70" s="24"/>
      <c r="AT70" s="24"/>
      <c r="AU70" s="24">
        <v>46261</v>
      </c>
      <c r="AV70" s="24"/>
      <c r="AW70" s="24"/>
      <c r="AX70" s="24"/>
      <c r="AY70" s="24">
        <v>46261</v>
      </c>
      <c r="AZ70" s="24"/>
      <c r="BA70" s="23" t="str">
        <f t="shared" si="36"/>
        <v/>
      </c>
      <c r="BB70" s="24"/>
      <c r="BC70" s="24"/>
      <c r="BD70" s="24"/>
      <c r="BE70" s="24"/>
      <c r="BF70" s="24"/>
      <c r="BG70" s="24"/>
      <c r="BH70" s="24"/>
      <c r="BI70" s="24"/>
      <c r="BJ70" s="24"/>
      <c r="BK70" s="24"/>
      <c r="BL70" s="23">
        <f t="shared" si="37"/>
        <v>46261</v>
      </c>
      <c r="BM70" s="24"/>
      <c r="BN70" s="24"/>
      <c r="BO70" s="24"/>
      <c r="BP70" s="24"/>
      <c r="BQ70" s="24"/>
      <c r="BR70" s="24"/>
      <c r="BS70" s="24"/>
      <c r="BT70" s="24"/>
      <c r="BU70" s="24">
        <v>46261</v>
      </c>
      <c r="BV70" s="24"/>
      <c r="BW70" s="23" t="str">
        <f t="shared" si="38"/>
        <v/>
      </c>
      <c r="BX70" s="24"/>
      <c r="BY70" s="24"/>
      <c r="BZ70" s="24"/>
      <c r="CA70" s="24"/>
      <c r="CB70" s="24"/>
      <c r="CC70" s="24"/>
      <c r="CD70" s="24"/>
      <c r="CE70" s="24"/>
      <c r="CF70" s="24"/>
      <c r="CG70" s="24"/>
      <c r="CH70" s="23" t="str">
        <f t="shared" si="39"/>
        <v/>
      </c>
      <c r="CI70" s="24"/>
      <c r="CJ70" s="24"/>
      <c r="CK70" s="24"/>
      <c r="CL70" s="24"/>
      <c r="CM70" s="24"/>
      <c r="CN70" s="24"/>
      <c r="CO70" s="24"/>
      <c r="CP70" s="24"/>
      <c r="CQ70" s="24"/>
      <c r="CR70" s="24"/>
      <c r="CS70" s="23">
        <f t="shared" si="40"/>
        <v>46263</v>
      </c>
      <c r="CT70" s="24">
        <v>46263</v>
      </c>
      <c r="CU70" s="24"/>
      <c r="CV70" s="24"/>
      <c r="CW70" s="24"/>
      <c r="CX70" s="24"/>
      <c r="CY70" s="24"/>
      <c r="CZ70" s="24"/>
      <c r="DA70" s="24"/>
      <c r="DB70" s="24"/>
      <c r="DC70" s="24"/>
      <c r="DD70" s="23" t="str">
        <f t="shared" si="41"/>
        <v/>
      </c>
      <c r="DE70" s="24"/>
      <c r="DF70" s="24"/>
      <c r="DG70" s="24"/>
      <c r="DH70" s="24"/>
      <c r="DI70" s="24"/>
      <c r="DJ70" s="24"/>
      <c r="DK70" s="24"/>
      <c r="DL70" s="24"/>
      <c r="DM70" s="24"/>
      <c r="DN70" s="24"/>
      <c r="DO70" s="22" t="str">
        <f t="shared" si="42"/>
        <v/>
      </c>
      <c r="DR70" t="s">
        <v>117</v>
      </c>
      <c r="DZ70" s="23" t="str">
        <f t="shared" si="43"/>
        <v/>
      </c>
      <c r="EA70" s="24"/>
      <c r="EB70" s="24"/>
      <c r="EC70" s="24"/>
      <c r="ED70" s="24"/>
      <c r="EE70" s="24"/>
      <c r="EF70" s="24"/>
      <c r="EG70" s="24"/>
      <c r="EH70" s="24"/>
      <c r="EI70" s="24"/>
      <c r="EJ70" s="24"/>
      <c r="EK70" s="23" t="str">
        <f t="shared" si="44"/>
        <v/>
      </c>
      <c r="EL70" s="24"/>
      <c r="EM70" s="24"/>
      <c r="EN70" s="24"/>
      <c r="EO70" s="24"/>
      <c r="EP70" s="24"/>
      <c r="EQ70" s="24"/>
      <c r="ER70" s="24"/>
      <c r="ES70" s="24"/>
      <c r="ET70" s="24"/>
      <c r="EU70" s="24"/>
      <c r="EV70" s="23" t="str">
        <f t="shared" si="45"/>
        <v/>
      </c>
      <c r="EW70" s="24"/>
      <c r="EX70" s="24"/>
      <c r="EY70" s="24"/>
      <c r="EZ70" s="24"/>
      <c r="FA70" s="24"/>
      <c r="FB70" s="24"/>
      <c r="FC70" s="24"/>
      <c r="FD70" s="24"/>
      <c r="FE70" s="24"/>
      <c r="FF70" s="24"/>
      <c r="FG70" s="23" t="str">
        <f t="shared" si="46"/>
        <v/>
      </c>
      <c r="FH70" s="24"/>
      <c r="FI70" s="24"/>
      <c r="FJ70" s="24"/>
      <c r="FK70" s="24"/>
      <c r="FL70" s="24"/>
      <c r="FM70" s="24"/>
      <c r="FN70" s="24"/>
      <c r="FO70" s="24"/>
      <c r="FP70" s="24"/>
      <c r="FQ70" s="24"/>
    </row>
  </sheetData>
  <autoFilter ref="A1:BU63" xr:uid="{3D0681E8-30BB-EF4A-857A-39EEFD120815}"/>
  <conditionalFormatting sqref="A1:H1">
    <cfRule type="expression" dxfId="3" priority="3">
      <formula>#REF!="Final value, if there is no data from any of the forwarders but there is data in ERP we use the data from the ERP"</formula>
    </cfRule>
    <cfRule type="expression" dxfId="2" priority="4">
      <formula>ISNUMBER(SEARCH("final value",#REF!))</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675456-0EFF-41D6-9A0F-B486A3A03659}">
  <sheetPr codeName="Sheet14"/>
  <dimension ref="A1:AAA273"/>
  <sheetViews>
    <sheetView tabSelected="1" zoomScaleNormal="100" workbookViewId="0">
      <selection activeCell="D30" sqref="D30"/>
    </sheetView>
  </sheetViews>
  <sheetFormatPr defaultColWidth="11" defaultRowHeight="15.75" x14ac:dyDescent="0.25"/>
  <cols>
    <col min="1" max="1" width="10.5" bestFit="1" customWidth="1"/>
    <col min="2" max="2" width="14.5" style="11" bestFit="1" customWidth="1"/>
    <col min="3" max="3" width="18.5" bestFit="1" customWidth="1"/>
    <col min="4" max="4" width="29" bestFit="1" customWidth="1"/>
    <col min="5" max="5" width="18.875" bestFit="1" customWidth="1"/>
    <col min="6" max="6" width="21.5" bestFit="1" customWidth="1"/>
    <col min="7" max="7" width="22.375" bestFit="1" customWidth="1"/>
    <col min="8" max="8" width="32.125" bestFit="1" customWidth="1"/>
    <col min="9" max="9" width="32.125" style="11" customWidth="1"/>
    <col min="10" max="10" width="19.875" style="11" bestFit="1" customWidth="1"/>
    <col min="11" max="11" width="17" style="11" bestFit="1" customWidth="1"/>
    <col min="12" max="12" width="24" style="11" bestFit="1" customWidth="1"/>
    <col min="13" max="13" width="14.5" style="11" bestFit="1" customWidth="1"/>
    <col min="14" max="14" width="14.375" style="11" bestFit="1" customWidth="1"/>
    <col min="15" max="15" width="18.125" style="11" bestFit="1" customWidth="1"/>
    <col min="16" max="16" width="18.5" style="11" bestFit="1" customWidth="1"/>
    <col min="17" max="17" width="14.375" style="11" bestFit="1" customWidth="1"/>
    <col min="18" max="18" width="21" style="11" bestFit="1" customWidth="1"/>
    <col min="19" max="19" width="19.125" style="11" bestFit="1" customWidth="1"/>
    <col min="20" max="21" width="19.5" style="11" bestFit="1" customWidth="1"/>
  </cols>
  <sheetData>
    <row r="1" spans="1:703" x14ac:dyDescent="0.25">
      <c r="A1" s="10" t="s">
        <v>0</v>
      </c>
      <c r="B1" s="14" t="s">
        <v>1</v>
      </c>
      <c r="C1" s="10" t="s">
        <v>3</v>
      </c>
      <c r="D1" s="10" t="s">
        <v>4</v>
      </c>
      <c r="E1" s="10" t="s">
        <v>5</v>
      </c>
      <c r="F1" s="10" t="s">
        <v>6</v>
      </c>
      <c r="G1" s="10" t="s">
        <v>8</v>
      </c>
      <c r="H1" s="10" t="s">
        <v>15</v>
      </c>
      <c r="I1" s="14" t="s">
        <v>317</v>
      </c>
      <c r="J1" s="14" t="s">
        <v>22</v>
      </c>
      <c r="K1" s="14" t="s">
        <v>29</v>
      </c>
      <c r="L1" s="14" t="s">
        <v>335</v>
      </c>
      <c r="M1" s="14" t="s">
        <v>36</v>
      </c>
      <c r="N1" s="14" t="s">
        <v>43</v>
      </c>
      <c r="O1" s="14" t="s">
        <v>50</v>
      </c>
      <c r="P1" s="14" t="s">
        <v>160</v>
      </c>
      <c r="Q1" s="14" t="s">
        <v>57</v>
      </c>
      <c r="R1" s="14" t="s">
        <v>78</v>
      </c>
      <c r="S1" s="14" t="s">
        <v>64</v>
      </c>
      <c r="T1" s="14" t="s">
        <v>71</v>
      </c>
      <c r="U1" s="14" t="s">
        <v>85</v>
      </c>
      <c r="V1" t="s">
        <v>92</v>
      </c>
      <c r="ZZ1" t="s">
        <v>142</v>
      </c>
      <c r="AAA1" t="s">
        <v>190</v>
      </c>
    </row>
    <row r="2" spans="1:703" x14ac:dyDescent="0.25">
      <c r="V2" s="11"/>
    </row>
    <row r="45" spans="22:22" x14ac:dyDescent="0.25">
      <c r="V45" s="11"/>
    </row>
    <row r="63" spans="22:22" x14ac:dyDescent="0.25">
      <c r="V63" s="11"/>
    </row>
    <row r="67" spans="22:22" x14ac:dyDescent="0.25">
      <c r="V67" s="11"/>
    </row>
    <row r="73" spans="22:22" x14ac:dyDescent="0.25">
      <c r="V73" s="11"/>
    </row>
    <row r="78" spans="22:22" x14ac:dyDescent="0.25">
      <c r="V78" s="11"/>
    </row>
    <row r="79" spans="22:22" x14ac:dyDescent="0.25">
      <c r="V79" s="11"/>
    </row>
    <row r="80" spans="22:22" x14ac:dyDescent="0.25">
      <c r="V80" s="11"/>
    </row>
    <row r="83" spans="22:22" x14ac:dyDescent="0.25">
      <c r="V83" s="11"/>
    </row>
    <row r="86" spans="22:22" x14ac:dyDescent="0.25">
      <c r="V86" s="11"/>
    </row>
    <row r="87" spans="22:22" x14ac:dyDescent="0.25">
      <c r="V87" s="11"/>
    </row>
    <row r="89" spans="22:22" x14ac:dyDescent="0.25">
      <c r="V89" s="11"/>
    </row>
    <row r="90" spans="22:22" x14ac:dyDescent="0.25">
      <c r="V90" s="11"/>
    </row>
    <row r="104" spans="22:22" x14ac:dyDescent="0.25">
      <c r="V104" s="11"/>
    </row>
    <row r="106" spans="22:22" x14ac:dyDescent="0.25">
      <c r="V106" s="11"/>
    </row>
    <row r="111" spans="22:22" x14ac:dyDescent="0.25">
      <c r="V111" s="11"/>
    </row>
    <row r="119" spans="22:22" x14ac:dyDescent="0.25">
      <c r="V119" s="11"/>
    </row>
    <row r="121" spans="22:22" x14ac:dyDescent="0.25">
      <c r="V121" s="11"/>
    </row>
    <row r="122" spans="22:22" x14ac:dyDescent="0.25">
      <c r="V122" s="11"/>
    </row>
    <row r="123" spans="22:22" x14ac:dyDescent="0.25">
      <c r="V123" s="11"/>
    </row>
    <row r="127" spans="22:22" x14ac:dyDescent="0.25">
      <c r="V127" s="11"/>
    </row>
    <row r="129" spans="22:22" x14ac:dyDescent="0.25">
      <c r="V129" s="11"/>
    </row>
    <row r="132" spans="22:22" x14ac:dyDescent="0.25">
      <c r="V132" s="11"/>
    </row>
    <row r="133" spans="22:22" x14ac:dyDescent="0.25">
      <c r="V133" s="11"/>
    </row>
    <row r="137" spans="22:22" x14ac:dyDescent="0.25">
      <c r="V137" s="11"/>
    </row>
    <row r="138" spans="22:22" x14ac:dyDescent="0.25">
      <c r="V138" s="11"/>
    </row>
    <row r="139" spans="22:22" x14ac:dyDescent="0.25">
      <c r="V139" s="11"/>
    </row>
    <row r="140" spans="22:22" x14ac:dyDescent="0.25">
      <c r="V140" s="11"/>
    </row>
    <row r="141" spans="22:22" x14ac:dyDescent="0.25">
      <c r="V141" s="11"/>
    </row>
    <row r="143" spans="22:22" x14ac:dyDescent="0.25">
      <c r="V143" s="11"/>
    </row>
    <row r="144" spans="22:22" x14ac:dyDescent="0.25">
      <c r="V144" s="11"/>
    </row>
    <row r="145" spans="22:22" x14ac:dyDescent="0.25">
      <c r="V145" s="11"/>
    </row>
    <row r="146" spans="22:22" x14ac:dyDescent="0.25">
      <c r="V146" s="11"/>
    </row>
    <row r="147" spans="22:22" x14ac:dyDescent="0.25">
      <c r="V147" s="11"/>
    </row>
    <row r="149" spans="22:22" x14ac:dyDescent="0.25">
      <c r="V149" s="11"/>
    </row>
    <row r="150" spans="22:22" x14ac:dyDescent="0.25">
      <c r="V150" s="11"/>
    </row>
    <row r="155" spans="22:22" x14ac:dyDescent="0.25">
      <c r="V155" s="11"/>
    </row>
    <row r="158" spans="22:22" x14ac:dyDescent="0.25">
      <c r="V158" s="11"/>
    </row>
    <row r="159" spans="22:22" x14ac:dyDescent="0.25">
      <c r="V159" s="11"/>
    </row>
    <row r="161" spans="22:22" x14ac:dyDescent="0.25">
      <c r="V161" s="11"/>
    </row>
    <row r="162" spans="22:22" x14ac:dyDescent="0.25">
      <c r="V162" s="11"/>
    </row>
    <row r="163" spans="22:22" x14ac:dyDescent="0.25">
      <c r="V163" s="11"/>
    </row>
    <row r="164" spans="22:22" x14ac:dyDescent="0.25">
      <c r="V164" s="11"/>
    </row>
    <row r="165" spans="22:22" x14ac:dyDescent="0.25">
      <c r="V165" s="11"/>
    </row>
    <row r="169" spans="22:22" x14ac:dyDescent="0.25">
      <c r="V169" s="11"/>
    </row>
    <row r="176" spans="22:22" x14ac:dyDescent="0.25">
      <c r="V176" s="11"/>
    </row>
    <row r="178" spans="22:22" x14ac:dyDescent="0.25">
      <c r="V178" s="11"/>
    </row>
    <row r="179" spans="22:22" x14ac:dyDescent="0.25">
      <c r="V179" s="11"/>
    </row>
    <row r="180" spans="22:22" x14ac:dyDescent="0.25">
      <c r="V180" s="11"/>
    </row>
    <row r="181" spans="22:22" x14ac:dyDescent="0.25">
      <c r="V181" s="11"/>
    </row>
    <row r="183" spans="22:22" x14ac:dyDescent="0.25">
      <c r="V183" s="11"/>
    </row>
    <row r="185" spans="22:22" x14ac:dyDescent="0.25">
      <c r="V185" s="11"/>
    </row>
    <row r="190" spans="22:22" x14ac:dyDescent="0.25">
      <c r="V190" s="11"/>
    </row>
    <row r="194" spans="22:22" x14ac:dyDescent="0.25">
      <c r="V194" s="11"/>
    </row>
    <row r="195" spans="22:22" x14ac:dyDescent="0.25">
      <c r="V195" s="11"/>
    </row>
    <row r="198" spans="22:22" x14ac:dyDescent="0.25">
      <c r="V198" s="11"/>
    </row>
    <row r="199" spans="22:22" x14ac:dyDescent="0.25">
      <c r="V199" s="11"/>
    </row>
    <row r="200" spans="22:22" x14ac:dyDescent="0.25">
      <c r="V200" s="11"/>
    </row>
    <row r="201" spans="22:22" x14ac:dyDescent="0.25">
      <c r="V201" s="11"/>
    </row>
    <row r="202" spans="22:22" x14ac:dyDescent="0.25">
      <c r="V202" s="11"/>
    </row>
    <row r="204" spans="22:22" x14ac:dyDescent="0.25">
      <c r="V204" s="11"/>
    </row>
    <row r="205" spans="22:22" x14ac:dyDescent="0.25">
      <c r="V205" s="11"/>
    </row>
    <row r="206" spans="22:22" x14ac:dyDescent="0.25">
      <c r="V206" s="11"/>
    </row>
    <row r="208" spans="22:22" x14ac:dyDescent="0.25">
      <c r="V208" s="11"/>
    </row>
    <row r="209" spans="22:22" x14ac:dyDescent="0.25">
      <c r="V209" s="11"/>
    </row>
    <row r="210" spans="22:22" x14ac:dyDescent="0.25">
      <c r="V210" s="11"/>
    </row>
    <row r="211" spans="22:22" x14ac:dyDescent="0.25">
      <c r="V211" s="11"/>
    </row>
    <row r="212" spans="22:22" x14ac:dyDescent="0.25">
      <c r="V212" s="11"/>
    </row>
    <row r="213" spans="22:22" x14ac:dyDescent="0.25">
      <c r="V213" s="11"/>
    </row>
    <row r="214" spans="22:22" x14ac:dyDescent="0.25">
      <c r="V214" s="11"/>
    </row>
    <row r="215" spans="22:22" x14ac:dyDescent="0.25">
      <c r="V215" s="11"/>
    </row>
    <row r="218" spans="22:22" x14ac:dyDescent="0.25">
      <c r="V218" s="11"/>
    </row>
    <row r="219" spans="22:22" x14ac:dyDescent="0.25">
      <c r="V219" s="11"/>
    </row>
    <row r="220" spans="22:22" x14ac:dyDescent="0.25">
      <c r="V220" s="11"/>
    </row>
    <row r="221" spans="22:22" x14ac:dyDescent="0.25">
      <c r="V221" s="11"/>
    </row>
    <row r="223" spans="22:22" x14ac:dyDescent="0.25">
      <c r="V223" s="11"/>
    </row>
    <row r="224" spans="22:22" x14ac:dyDescent="0.25">
      <c r="V224" s="11"/>
    </row>
    <row r="226" spans="22:22" x14ac:dyDescent="0.25">
      <c r="V226" s="11"/>
    </row>
    <row r="228" spans="22:22" x14ac:dyDescent="0.25">
      <c r="V228" s="11"/>
    </row>
    <row r="229" spans="22:22" x14ac:dyDescent="0.25">
      <c r="V229" s="11"/>
    </row>
    <row r="230" spans="22:22" x14ac:dyDescent="0.25">
      <c r="V230" s="11"/>
    </row>
    <row r="231" spans="22:22" x14ac:dyDescent="0.25">
      <c r="V231" s="11"/>
    </row>
    <row r="233" spans="22:22" x14ac:dyDescent="0.25">
      <c r="V233" s="11"/>
    </row>
    <row r="234" spans="22:22" x14ac:dyDescent="0.25">
      <c r="V234" s="11"/>
    </row>
    <row r="235" spans="22:22" x14ac:dyDescent="0.25">
      <c r="V235" s="11"/>
    </row>
    <row r="237" spans="22:22" x14ac:dyDescent="0.25">
      <c r="V237" s="11"/>
    </row>
    <row r="241" spans="22:22" x14ac:dyDescent="0.25">
      <c r="V241" s="11"/>
    </row>
    <row r="242" spans="22:22" x14ac:dyDescent="0.25">
      <c r="V242" s="11"/>
    </row>
    <row r="243" spans="22:22" x14ac:dyDescent="0.25">
      <c r="V243" s="11"/>
    </row>
    <row r="244" spans="22:22" x14ac:dyDescent="0.25">
      <c r="V244" s="11"/>
    </row>
    <row r="245" spans="22:22" x14ac:dyDescent="0.25">
      <c r="V245" s="11"/>
    </row>
    <row r="246" spans="22:22" x14ac:dyDescent="0.25">
      <c r="V246" s="11"/>
    </row>
    <row r="247" spans="22:22" x14ac:dyDescent="0.25">
      <c r="V247" s="11"/>
    </row>
    <row r="248" spans="22:22" x14ac:dyDescent="0.25">
      <c r="V248" s="11"/>
    </row>
    <row r="253" spans="22:22" x14ac:dyDescent="0.25">
      <c r="V253" s="11"/>
    </row>
    <row r="255" spans="22:22" x14ac:dyDescent="0.25">
      <c r="V255" s="11"/>
    </row>
    <row r="256" spans="22:22" x14ac:dyDescent="0.25">
      <c r="V256" s="11"/>
    </row>
    <row r="257" spans="22:22" x14ac:dyDescent="0.25">
      <c r="V257" s="11"/>
    </row>
    <row r="258" spans="22:22" x14ac:dyDescent="0.25">
      <c r="V258" s="11"/>
    </row>
    <row r="259" spans="22:22" x14ac:dyDescent="0.25">
      <c r="V259" s="11"/>
    </row>
    <row r="261" spans="22:22" x14ac:dyDescent="0.25">
      <c r="V261" s="11"/>
    </row>
    <row r="262" spans="22:22" x14ac:dyDescent="0.25">
      <c r="V262" s="11"/>
    </row>
    <row r="263" spans="22:22" x14ac:dyDescent="0.25">
      <c r="V263" s="11"/>
    </row>
    <row r="264" spans="22:22" x14ac:dyDescent="0.25">
      <c r="V264" s="11"/>
    </row>
    <row r="266" spans="22:22" x14ac:dyDescent="0.25">
      <c r="V266" s="11"/>
    </row>
    <row r="267" spans="22:22" x14ac:dyDescent="0.25">
      <c r="V267" s="11"/>
    </row>
    <row r="268" spans="22:22" x14ac:dyDescent="0.25">
      <c r="V268" s="11"/>
    </row>
    <row r="269" spans="22:22" x14ac:dyDescent="0.25">
      <c r="V269" s="11"/>
    </row>
    <row r="270" spans="22:22" x14ac:dyDescent="0.25">
      <c r="V270" s="11"/>
    </row>
    <row r="271" spans="22:22" x14ac:dyDescent="0.25">
      <c r="V271" s="11"/>
    </row>
    <row r="272" spans="22:22" x14ac:dyDescent="0.25">
      <c r="V272" s="11"/>
    </row>
    <row r="273" spans="22:22" x14ac:dyDescent="0.25">
      <c r="V273" s="11"/>
    </row>
  </sheetData>
  <pageMargins left="0.7" right="0.7" top="0.75" bottom="0.75" header="0.3" footer="0.3"/>
  <pageSetup orientation="portrait" horizontalDpi="0" verticalDpi="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AA994-7738-42D1-831C-D53652C2276F}">
  <sheetPr codeName="Sheet12"/>
  <dimension ref="A1:AAE6"/>
  <sheetViews>
    <sheetView workbookViewId="0">
      <selection activeCell="E12" sqref="E12"/>
    </sheetView>
  </sheetViews>
  <sheetFormatPr defaultColWidth="13.125" defaultRowHeight="12.75" x14ac:dyDescent="0.2"/>
  <cols>
    <col min="1" max="1" width="13.125" style="9"/>
    <col min="2" max="3" width="18.125" style="9" customWidth="1"/>
    <col min="4" max="4" width="18.625" style="9" customWidth="1"/>
    <col min="5" max="5" width="20.125" style="9" customWidth="1"/>
    <col min="6" max="6" width="24.125" style="9" customWidth="1"/>
    <col min="7" max="7" width="26.375" style="9" customWidth="1"/>
    <col min="8" max="8" width="18.125" style="20" customWidth="1"/>
    <col min="9" max="9" width="17.375" style="20" customWidth="1"/>
    <col min="10" max="10" width="19" style="20" customWidth="1"/>
    <col min="11" max="11" width="13.125" style="20"/>
    <col min="12" max="12" width="15.75" style="20" bestFit="1" customWidth="1"/>
    <col min="13" max="14" width="15.75" style="9" customWidth="1"/>
    <col min="15" max="17" width="15.75" style="20" customWidth="1"/>
    <col min="18" max="18" width="31.875" style="9" customWidth="1"/>
    <col min="19" max="19" width="13.125" style="20"/>
    <col min="20" max="20" width="15.125" style="20" customWidth="1"/>
    <col min="21" max="21" width="11.625" style="20" customWidth="1"/>
    <col min="22" max="22" width="40.125" style="9" customWidth="1"/>
    <col min="23" max="23" width="20.625" style="9" customWidth="1"/>
    <col min="24" max="24" width="18.625" style="9" customWidth="1"/>
    <col min="25" max="25" width="12.125" style="9" customWidth="1"/>
    <col min="26" max="26" width="21.625" style="9" customWidth="1"/>
    <col min="27" max="27" width="11.625" style="9" customWidth="1"/>
    <col min="28" max="28" width="17.875" style="9" customWidth="1"/>
    <col min="29" max="30" width="14.875" style="9" customWidth="1"/>
    <col min="31" max="31" width="44.875" style="9" customWidth="1"/>
    <col min="32" max="32" width="16.875" style="9" customWidth="1"/>
    <col min="33" max="33" width="12.125" style="9" customWidth="1"/>
    <col min="34" max="34" width="45.625" style="9" customWidth="1"/>
    <col min="35" max="35" width="31" style="9" customWidth="1"/>
    <col min="36" max="36" width="26.625" style="9" customWidth="1"/>
    <col min="37" max="37" width="15.625" style="9" customWidth="1"/>
    <col min="38" max="38" width="32.125" style="9" customWidth="1"/>
    <col min="39" max="39" width="13.5" style="9" customWidth="1"/>
    <col min="40" max="40" width="21.625" style="9" customWidth="1"/>
    <col min="41" max="41" width="15.125" style="9" customWidth="1"/>
    <col min="42" max="44" width="13.125" style="9"/>
    <col min="45" max="45" width="39.125" style="9" customWidth="1"/>
    <col min="46" max="46" width="25.125" style="9" customWidth="1"/>
    <col min="47" max="16384" width="13.125" style="9"/>
  </cols>
  <sheetData>
    <row r="1" spans="1:707" s="18" customFormat="1" ht="15.75" x14ac:dyDescent="0.25">
      <c r="A1" s="17" t="s">
        <v>337</v>
      </c>
      <c r="B1" s="17" t="s">
        <v>3</v>
      </c>
      <c r="C1" s="17" t="s">
        <v>5</v>
      </c>
      <c r="D1" s="17" t="s">
        <v>6</v>
      </c>
      <c r="E1" s="17" t="s">
        <v>8</v>
      </c>
      <c r="F1" s="17" t="s">
        <v>170</v>
      </c>
      <c r="G1" s="17" t="s">
        <v>323</v>
      </c>
      <c r="H1" s="19" t="s">
        <v>22</v>
      </c>
      <c r="I1" s="19" t="s">
        <v>29</v>
      </c>
      <c r="J1" s="19" t="s">
        <v>43</v>
      </c>
      <c r="K1" s="19" t="s">
        <v>50</v>
      </c>
      <c r="L1" s="19" t="s">
        <v>57</v>
      </c>
      <c r="M1" s="17" t="s">
        <v>342</v>
      </c>
      <c r="N1" s="17" t="s">
        <v>78</v>
      </c>
      <c r="O1" s="19" t="s">
        <v>71</v>
      </c>
      <c r="P1" s="19" t="s">
        <v>85</v>
      </c>
      <c r="Q1" s="19" t="s">
        <v>92</v>
      </c>
      <c r="R1" s="17" t="s">
        <v>338</v>
      </c>
      <c r="S1" s="19" t="s">
        <v>339</v>
      </c>
      <c r="T1" s="19" t="s">
        <v>340</v>
      </c>
      <c r="U1" s="19" t="s">
        <v>341</v>
      </c>
      <c r="ZZ1" s="18" t="s">
        <v>142</v>
      </c>
      <c r="AAA1" s="18" t="s">
        <v>190</v>
      </c>
      <c r="AAD1" s="18" t="s">
        <v>142</v>
      </c>
      <c r="AAE1" s="18" t="s">
        <v>190</v>
      </c>
    </row>
    <row r="2" spans="1:707" x14ac:dyDescent="0.2">
      <c r="S2" s="9"/>
      <c r="T2" s="9"/>
      <c r="U2" s="9"/>
      <c r="ZZ2" s="9" t="str">
        <f>C2&amp; "|" &amp;D2</f>
        <v>|</v>
      </c>
      <c r="AAA2" s="9">
        <f>B2</f>
        <v>0</v>
      </c>
    </row>
    <row r="3" spans="1:707" x14ac:dyDescent="0.2">
      <c r="S3" s="9"/>
      <c r="T3" s="9"/>
      <c r="U3" s="9"/>
    </row>
    <row r="4" spans="1:707" x14ac:dyDescent="0.2">
      <c r="S4" s="9"/>
      <c r="T4" s="9"/>
      <c r="U4" s="9"/>
    </row>
    <row r="5" spans="1:707" x14ac:dyDescent="0.2">
      <c r="S5" s="9"/>
      <c r="T5" s="9"/>
      <c r="U5" s="9"/>
    </row>
    <row r="6" spans="1:707" x14ac:dyDescent="0.2">
      <c r="S6" s="9"/>
      <c r="T6" s="9"/>
      <c r="U6" s="9"/>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7472B7-264C-432D-A5AA-8D2163E80B8E}">
  <sheetPr codeName="Sheet13"/>
  <dimension ref="A1:AAA1"/>
  <sheetViews>
    <sheetView zoomScale="85" zoomScaleNormal="85" workbookViewId="0">
      <selection activeCell="A21" sqref="A21"/>
    </sheetView>
  </sheetViews>
  <sheetFormatPr defaultColWidth="13.125" defaultRowHeight="15.75" x14ac:dyDescent="0.25"/>
  <cols>
    <col min="1" max="1" width="30" bestFit="1" customWidth="1"/>
    <col min="2" max="2" width="14" bestFit="1" customWidth="1"/>
    <col min="3" max="3" width="11.125" bestFit="1" customWidth="1"/>
    <col min="4" max="4" width="15.875" bestFit="1" customWidth="1"/>
    <col min="5" max="5" width="16.875" bestFit="1" customWidth="1"/>
    <col min="6" max="6" width="17.875" bestFit="1" customWidth="1"/>
    <col min="7" max="7" width="20.125" bestFit="1" customWidth="1"/>
    <col min="8" max="8" width="16.125" bestFit="1" customWidth="1"/>
    <col min="9" max="9" width="21.125" style="11" bestFit="1" customWidth="1"/>
    <col min="10" max="10" width="14.875" style="11" bestFit="1" customWidth="1"/>
    <col min="11" max="11" width="20.5" style="11" bestFit="1" customWidth="1"/>
    <col min="12" max="12" width="19.5" style="11" bestFit="1" customWidth="1"/>
    <col min="13" max="13" width="10.625" bestFit="1" customWidth="1"/>
    <col min="14" max="14" width="27.625" bestFit="1" customWidth="1"/>
    <col min="15" max="15" width="10.5" style="11" bestFit="1" customWidth="1"/>
    <col min="16" max="16" width="58.625" bestFit="1" customWidth="1"/>
    <col min="17" max="17" width="20.375" style="11" bestFit="1" customWidth="1"/>
    <col min="18" max="18" width="18.125" bestFit="1" customWidth="1"/>
    <col min="19" max="19" width="16.875" bestFit="1" customWidth="1"/>
    <col min="20" max="20" width="39.625" bestFit="1" customWidth="1"/>
  </cols>
  <sheetData>
    <row r="1" spans="1:703" x14ac:dyDescent="0.25">
      <c r="A1" s="7" t="s">
        <v>143</v>
      </c>
      <c r="B1" s="7" t="s">
        <v>5</v>
      </c>
      <c r="C1" s="7" t="s">
        <v>144</v>
      </c>
      <c r="D1" s="7" t="s">
        <v>6</v>
      </c>
      <c r="E1" s="7" t="s">
        <v>8</v>
      </c>
      <c r="F1" s="7" t="s">
        <v>145</v>
      </c>
      <c r="G1" s="7" t="s">
        <v>146</v>
      </c>
      <c r="H1" s="7" t="s">
        <v>147</v>
      </c>
      <c r="I1" s="8" t="s">
        <v>317</v>
      </c>
      <c r="J1" s="8" t="s">
        <v>22</v>
      </c>
      <c r="K1" s="8" t="s">
        <v>36</v>
      </c>
      <c r="L1" s="8" t="s">
        <v>335</v>
      </c>
      <c r="M1" s="7" t="s">
        <v>149</v>
      </c>
      <c r="N1" s="7" t="s">
        <v>15</v>
      </c>
      <c r="O1" s="8" t="s">
        <v>43</v>
      </c>
      <c r="P1" s="7" t="s">
        <v>153</v>
      </c>
      <c r="Q1" s="8" t="s">
        <v>154</v>
      </c>
      <c r="R1" s="7" t="s">
        <v>155</v>
      </c>
      <c r="S1" s="7" t="s">
        <v>156</v>
      </c>
      <c r="T1" s="7" t="s">
        <v>157</v>
      </c>
      <c r="ZZ1" t="s">
        <v>142</v>
      </c>
      <c r="AAA1" t="s">
        <v>190</v>
      </c>
    </row>
  </sheetData>
  <autoFilter ref="A1:T1" xr:uid="{0B7472B7-264C-432D-A5AA-8D2163E80B8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944816-808B-495C-B588-095C6FEC2B6F}">
  <sheetPr codeName="Sheet1"/>
  <dimension ref="A1:AAA98"/>
  <sheetViews>
    <sheetView zoomScaleNormal="100" workbookViewId="0">
      <selection activeCell="B26" sqref="B26"/>
    </sheetView>
  </sheetViews>
  <sheetFormatPr defaultColWidth="8.875" defaultRowHeight="15.75" x14ac:dyDescent="0.25"/>
  <cols>
    <col min="1" max="1" width="17.375" bestFit="1" customWidth="1"/>
    <col min="2" max="2" width="18" bestFit="1" customWidth="1"/>
    <col min="3" max="3" width="43.875" customWidth="1"/>
    <col min="4" max="4" width="12" bestFit="1" customWidth="1"/>
    <col min="5" max="5" width="29.125" bestFit="1" customWidth="1"/>
    <col min="6" max="6" width="8.125" bestFit="1" customWidth="1"/>
    <col min="7" max="7" width="4.875" bestFit="1" customWidth="1"/>
    <col min="8" max="8" width="6.625" bestFit="1" customWidth="1"/>
    <col min="9" max="9" width="8.375" bestFit="1" customWidth="1"/>
    <col min="10" max="10" width="9.375" bestFit="1" customWidth="1"/>
    <col min="11" max="11" width="8.625" bestFit="1" customWidth="1"/>
    <col min="12" max="12" width="15.125" bestFit="1" customWidth="1"/>
    <col min="13" max="13" width="17.125" bestFit="1" customWidth="1"/>
    <col min="14" max="14" width="20.875" bestFit="1" customWidth="1"/>
    <col min="15" max="15" width="15.125" bestFit="1" customWidth="1"/>
    <col min="16" max="16" width="9.125" bestFit="1" customWidth="1"/>
    <col min="17" max="17" width="14.125" bestFit="1" customWidth="1"/>
    <col min="18" max="18" width="11.625" bestFit="1" customWidth="1"/>
    <col min="19" max="19" width="8.625" bestFit="1" customWidth="1"/>
    <col min="20" max="20" width="12.625" bestFit="1" customWidth="1"/>
    <col min="21" max="21" width="7.625" bestFit="1" customWidth="1"/>
    <col min="22" max="22" width="17.125" bestFit="1" customWidth="1"/>
    <col min="46" max="46" width="9.5" bestFit="1" customWidth="1"/>
    <col min="98" max="98" width="8.875" style="11"/>
  </cols>
  <sheetData>
    <row r="1" spans="1:703" x14ac:dyDescent="0.25">
      <c r="A1" t="s">
        <v>191</v>
      </c>
      <c r="B1" t="s">
        <v>192</v>
      </c>
      <c r="C1" t="s">
        <v>193</v>
      </c>
      <c r="D1" t="s">
        <v>194</v>
      </c>
      <c r="E1" t="s">
        <v>195</v>
      </c>
      <c r="F1" t="s">
        <v>196</v>
      </c>
      <c r="G1" t="s">
        <v>197</v>
      </c>
      <c r="H1" t="s">
        <v>198</v>
      </c>
      <c r="I1" t="s">
        <v>199</v>
      </c>
      <c r="J1" t="s">
        <v>200</v>
      </c>
      <c r="K1" t="s">
        <v>201</v>
      </c>
      <c r="L1" t="s">
        <v>202</v>
      </c>
      <c r="M1" t="s">
        <v>203</v>
      </c>
      <c r="N1" t="s">
        <v>204</v>
      </c>
      <c r="O1" t="s">
        <v>205</v>
      </c>
      <c r="P1" t="s">
        <v>206</v>
      </c>
      <c r="Q1" t="s">
        <v>207</v>
      </c>
      <c r="R1" t="s">
        <v>208</v>
      </c>
      <c r="S1" t="s">
        <v>209</v>
      </c>
      <c r="T1" t="s">
        <v>210</v>
      </c>
      <c r="U1" t="s">
        <v>211</v>
      </c>
      <c r="V1" t="s">
        <v>212</v>
      </c>
      <c r="W1" t="s">
        <v>213</v>
      </c>
      <c r="X1" t="s">
        <v>214</v>
      </c>
      <c r="Y1" t="s">
        <v>215</v>
      </c>
      <c r="Z1" t="s">
        <v>216</v>
      </c>
      <c r="AA1" t="s">
        <v>217</v>
      </c>
      <c r="AB1" t="s">
        <v>218</v>
      </c>
      <c r="AC1" t="s">
        <v>219</v>
      </c>
      <c r="AD1" t="s">
        <v>220</v>
      </c>
      <c r="AE1" t="s">
        <v>221</v>
      </c>
      <c r="AF1" t="s">
        <v>222</v>
      </c>
      <c r="AG1" t="s">
        <v>223</v>
      </c>
      <c r="AH1" t="s">
        <v>224</v>
      </c>
      <c r="AI1" t="s">
        <v>5</v>
      </c>
      <c r="AJ1" t="s">
        <v>225</v>
      </c>
      <c r="AK1" t="s">
        <v>226</v>
      </c>
      <c r="AL1" t="s">
        <v>227</v>
      </c>
      <c r="AM1" t="s">
        <v>228</v>
      </c>
      <c r="AN1" t="s">
        <v>229</v>
      </c>
      <c r="AO1" t="s">
        <v>230</v>
      </c>
      <c r="AP1" t="s">
        <v>231</v>
      </c>
      <c r="AQ1" t="s">
        <v>232</v>
      </c>
      <c r="AR1" t="s">
        <v>233</v>
      </c>
      <c r="AS1" t="s">
        <v>234</v>
      </c>
      <c r="AT1" t="s">
        <v>235</v>
      </c>
      <c r="AU1" t="s">
        <v>236</v>
      </c>
      <c r="AV1" t="s">
        <v>237</v>
      </c>
      <c r="AW1" t="s">
        <v>238</v>
      </c>
      <c r="AX1" t="s">
        <v>239</v>
      </c>
      <c r="AY1" t="s">
        <v>240</v>
      </c>
      <c r="AZ1" t="s">
        <v>241</v>
      </c>
      <c r="BA1" t="s">
        <v>242</v>
      </c>
      <c r="BB1" t="s">
        <v>243</v>
      </c>
      <c r="BC1" t="s">
        <v>244</v>
      </c>
      <c r="BD1" t="s">
        <v>245</v>
      </c>
      <c r="BE1" t="s">
        <v>246</v>
      </c>
      <c r="BF1" t="s">
        <v>247</v>
      </c>
      <c r="BG1" t="s">
        <v>248</v>
      </c>
      <c r="BH1" t="s">
        <v>249</v>
      </c>
      <c r="BI1" t="s">
        <v>250</v>
      </c>
      <c r="BJ1" t="s">
        <v>251</v>
      </c>
      <c r="BK1" t="s">
        <v>8</v>
      </c>
      <c r="BL1" t="s">
        <v>6</v>
      </c>
      <c r="BM1" t="s">
        <v>252</v>
      </c>
      <c r="BN1" t="s">
        <v>253</v>
      </c>
      <c r="BO1" t="s">
        <v>167</v>
      </c>
      <c r="BP1" t="s">
        <v>254</v>
      </c>
      <c r="BQ1" t="s">
        <v>157</v>
      </c>
      <c r="BR1" t="s">
        <v>255</v>
      </c>
      <c r="BS1" t="s">
        <v>256</v>
      </c>
      <c r="BT1" t="s">
        <v>149</v>
      </c>
      <c r="BU1" t="s">
        <v>257</v>
      </c>
      <c r="BV1" t="s">
        <v>15</v>
      </c>
      <c r="BW1" t="s">
        <v>150</v>
      </c>
      <c r="BX1" t="s">
        <v>258</v>
      </c>
      <c r="BY1" t="s">
        <v>259</v>
      </c>
      <c r="BZ1" t="s">
        <v>260</v>
      </c>
      <c r="CA1" t="s">
        <v>261</v>
      </c>
      <c r="CB1" t="s">
        <v>262</v>
      </c>
      <c r="CC1" t="s">
        <v>263</v>
      </c>
      <c r="CD1" t="s">
        <v>264</v>
      </c>
      <c r="CE1" t="s">
        <v>265</v>
      </c>
      <c r="CF1" t="s">
        <v>266</v>
      </c>
      <c r="CG1" t="s">
        <v>267</v>
      </c>
      <c r="CH1" t="s">
        <v>268</v>
      </c>
      <c r="CI1" t="s">
        <v>269</v>
      </c>
      <c r="CJ1" t="s">
        <v>270</v>
      </c>
      <c r="CK1" t="s">
        <v>271</v>
      </c>
      <c r="CL1" t="s">
        <v>272</v>
      </c>
      <c r="CM1" t="s">
        <v>273</v>
      </c>
      <c r="CN1" t="s">
        <v>274</v>
      </c>
      <c r="CO1" t="s">
        <v>275</v>
      </c>
      <c r="CP1" t="s">
        <v>148</v>
      </c>
      <c r="CQ1" t="s">
        <v>317</v>
      </c>
      <c r="CR1" t="s">
        <v>22</v>
      </c>
      <c r="CS1" t="s">
        <v>29</v>
      </c>
      <c r="CT1" s="11" t="s">
        <v>276</v>
      </c>
      <c r="CU1" t="s">
        <v>277</v>
      </c>
      <c r="CV1" t="s">
        <v>278</v>
      </c>
      <c r="CW1" t="s">
        <v>279</v>
      </c>
      <c r="CX1" t="s">
        <v>278</v>
      </c>
      <c r="CY1" t="s">
        <v>280</v>
      </c>
      <c r="CZ1" t="s">
        <v>278</v>
      </c>
      <c r="DA1" t="s">
        <v>281</v>
      </c>
      <c r="DB1" t="s">
        <v>282</v>
      </c>
      <c r="DC1" t="s">
        <v>283</v>
      </c>
      <c r="DD1" t="s">
        <v>284</v>
      </c>
      <c r="DE1" t="s">
        <v>285</v>
      </c>
      <c r="DF1" t="s">
        <v>286</v>
      </c>
      <c r="DG1" t="s">
        <v>287</v>
      </c>
      <c r="DH1" t="s">
        <v>288</v>
      </c>
      <c r="DI1" t="s">
        <v>289</v>
      </c>
      <c r="DJ1" t="s">
        <v>290</v>
      </c>
      <c r="DK1" t="s">
        <v>291</v>
      </c>
      <c r="DL1" t="s">
        <v>292</v>
      </c>
      <c r="DM1" t="s">
        <v>293</v>
      </c>
      <c r="DN1" t="s">
        <v>294</v>
      </c>
      <c r="DO1" t="s">
        <v>295</v>
      </c>
      <c r="DP1" t="s">
        <v>296</v>
      </c>
      <c r="DQ1" t="s">
        <v>297</v>
      </c>
      <c r="DR1" t="s">
        <v>298</v>
      </c>
      <c r="DS1" t="s">
        <v>299</v>
      </c>
      <c r="DT1" t="s">
        <v>300</v>
      </c>
      <c r="DU1" t="s">
        <v>301</v>
      </c>
      <c r="DV1" t="s">
        <v>302</v>
      </c>
      <c r="DW1" t="s">
        <v>303</v>
      </c>
      <c r="DX1" t="s">
        <v>304</v>
      </c>
      <c r="DY1" t="s">
        <v>305</v>
      </c>
      <c r="DZ1" t="s">
        <v>306</v>
      </c>
      <c r="EA1" t="s">
        <v>307</v>
      </c>
      <c r="EB1" t="s">
        <v>308</v>
      </c>
      <c r="EC1" t="s">
        <v>309</v>
      </c>
      <c r="ED1" t="s">
        <v>310</v>
      </c>
      <c r="EE1" t="s">
        <v>311</v>
      </c>
      <c r="EF1" t="s">
        <v>312</v>
      </c>
      <c r="EG1" t="s">
        <v>313</v>
      </c>
      <c r="ZZ1" t="s">
        <v>142</v>
      </c>
      <c r="AAA1" t="s">
        <v>190</v>
      </c>
    </row>
    <row r="2" spans="1:703" x14ac:dyDescent="0.25">
      <c r="S2" s="15"/>
      <c r="AN2" s="15"/>
      <c r="AT2" s="15"/>
      <c r="AU2" s="15"/>
      <c r="AV2" s="15"/>
      <c r="AW2" s="15"/>
      <c r="AX2" s="15"/>
      <c r="AY2" s="15"/>
      <c r="BA2" s="15"/>
      <c r="BF2" s="15"/>
      <c r="BH2" s="15"/>
      <c r="CE2" s="16"/>
      <c r="CF2" s="16"/>
      <c r="CI2" s="16"/>
      <c r="CJ2" s="16"/>
      <c r="CP2" s="11"/>
      <c r="CQ2" s="16"/>
      <c r="CR2" s="11"/>
      <c r="CS2" s="16"/>
      <c r="DZ2" s="16"/>
      <c r="EB2" s="16"/>
    </row>
    <row r="3" spans="1:703" x14ac:dyDescent="0.25">
      <c r="S3" s="15"/>
      <c r="AN3" s="15"/>
      <c r="AT3" s="15"/>
      <c r="AU3" s="15"/>
      <c r="AV3" s="15"/>
      <c r="AW3" s="15"/>
      <c r="AX3" s="15"/>
      <c r="AY3" s="15"/>
      <c r="AZ3" s="15"/>
      <c r="BA3" s="15"/>
      <c r="BB3" s="15"/>
      <c r="BD3" s="15"/>
      <c r="BF3" s="15"/>
      <c r="BH3" s="15"/>
      <c r="CE3" s="16"/>
      <c r="CF3" s="16"/>
      <c r="CI3" s="16"/>
      <c r="CJ3" s="16"/>
      <c r="CP3" s="16"/>
      <c r="CQ3" s="16"/>
      <c r="CR3" s="16"/>
      <c r="CS3" s="16"/>
      <c r="DZ3" s="16"/>
      <c r="EB3" s="16"/>
    </row>
    <row r="4" spans="1:703" x14ac:dyDescent="0.25">
      <c r="S4" s="15"/>
      <c r="AN4" s="15"/>
      <c r="AT4" s="15"/>
      <c r="AU4" s="15"/>
      <c r="AV4" s="15"/>
      <c r="AW4" s="15"/>
      <c r="AX4" s="15"/>
      <c r="AY4" s="15"/>
      <c r="BA4" s="15"/>
      <c r="BB4" s="15"/>
      <c r="BD4" s="15"/>
      <c r="BE4" s="21"/>
      <c r="BF4" s="15"/>
      <c r="BH4" s="15"/>
      <c r="CE4" s="16"/>
      <c r="CF4" s="16"/>
      <c r="CI4" s="16"/>
      <c r="CJ4" s="16"/>
      <c r="CP4" s="16"/>
      <c r="CQ4" s="16"/>
      <c r="CR4" s="16"/>
      <c r="CS4" s="16"/>
      <c r="DZ4" s="16"/>
      <c r="EB4" s="16"/>
    </row>
    <row r="5" spans="1:703" x14ac:dyDescent="0.25">
      <c r="S5" s="15"/>
      <c r="AN5" s="15"/>
      <c r="AT5" s="15"/>
      <c r="AU5" s="15"/>
      <c r="AV5" s="15"/>
      <c r="AW5" s="15"/>
      <c r="AX5" s="15"/>
      <c r="AY5" s="15"/>
      <c r="AZ5" s="15"/>
      <c r="BA5" s="15"/>
      <c r="BB5" s="15"/>
      <c r="BD5" s="15"/>
      <c r="BE5" s="21"/>
      <c r="BF5" s="15"/>
      <c r="BH5" s="15"/>
      <c r="CE5" s="16"/>
      <c r="CF5" s="16"/>
      <c r="CI5" s="16"/>
      <c r="CJ5" s="16"/>
      <c r="CP5" s="16"/>
      <c r="CQ5" s="16"/>
      <c r="CR5" s="16"/>
      <c r="CS5" s="16"/>
      <c r="DZ5" s="16"/>
      <c r="EB5" s="16"/>
    </row>
    <row r="6" spans="1:703" x14ac:dyDescent="0.25">
      <c r="S6" s="15"/>
      <c r="AN6" s="15"/>
      <c r="AT6" s="15"/>
      <c r="AU6" s="15"/>
      <c r="AV6" s="15"/>
      <c r="AW6" s="15"/>
      <c r="AX6" s="15"/>
      <c r="AY6" s="15"/>
      <c r="AZ6" s="15"/>
      <c r="BA6" s="15"/>
      <c r="BB6" s="15"/>
      <c r="BD6" s="15"/>
      <c r="BE6" s="21"/>
      <c r="BF6" s="15"/>
      <c r="BH6" s="15"/>
      <c r="CE6" s="16"/>
      <c r="CF6" s="16"/>
      <c r="CI6" s="16"/>
      <c r="CJ6" s="16"/>
      <c r="CP6" s="16"/>
      <c r="CQ6" s="16"/>
      <c r="CR6" s="16"/>
      <c r="CS6" s="16"/>
      <c r="DZ6" s="16"/>
      <c r="EB6" s="16"/>
    </row>
    <row r="7" spans="1:703" x14ac:dyDescent="0.25">
      <c r="S7" s="15"/>
      <c r="AN7" s="15"/>
      <c r="AT7" s="15"/>
      <c r="AU7" s="15"/>
      <c r="AV7" s="15"/>
      <c r="AW7" s="15"/>
      <c r="AX7" s="15"/>
      <c r="AY7" s="15"/>
      <c r="AZ7" s="15"/>
      <c r="BA7" s="15"/>
      <c r="BB7" s="15"/>
      <c r="BD7" s="15"/>
      <c r="BF7" s="15"/>
      <c r="BH7" s="15"/>
      <c r="CE7" s="16"/>
      <c r="CF7" s="16"/>
      <c r="CI7" s="16"/>
      <c r="CJ7" s="16"/>
      <c r="CP7" s="16"/>
      <c r="CQ7" s="16"/>
      <c r="CR7" s="16"/>
      <c r="CS7" s="16"/>
      <c r="DZ7" s="16"/>
      <c r="EB7" s="16"/>
    </row>
    <row r="8" spans="1:703" x14ac:dyDescent="0.25">
      <c r="S8" s="15"/>
      <c r="AN8" s="15"/>
      <c r="AT8" s="15"/>
      <c r="AU8" s="15"/>
      <c r="AV8" s="15"/>
      <c r="AW8" s="15"/>
      <c r="AX8" s="15"/>
      <c r="AY8" s="15"/>
      <c r="AZ8" s="15"/>
      <c r="BA8" s="15"/>
      <c r="BB8" s="15"/>
      <c r="BD8" s="15"/>
      <c r="BE8" s="21"/>
      <c r="BF8" s="15"/>
      <c r="BH8" s="15"/>
      <c r="CE8" s="16"/>
      <c r="CF8" s="16"/>
      <c r="CI8" s="16"/>
      <c r="CJ8" s="16"/>
      <c r="CP8" s="11"/>
      <c r="CQ8" s="16"/>
      <c r="CR8" s="16"/>
      <c r="CS8" s="16"/>
      <c r="DZ8" s="16"/>
      <c r="EB8" s="16"/>
    </row>
    <row r="9" spans="1:703" x14ac:dyDescent="0.25">
      <c r="S9" s="15"/>
      <c r="AN9" s="15"/>
      <c r="AT9" s="15"/>
      <c r="AU9" s="15"/>
      <c r="AV9" s="15"/>
      <c r="AW9" s="15"/>
      <c r="AX9" s="15"/>
      <c r="AY9" s="15"/>
      <c r="BA9" s="15"/>
      <c r="BB9" s="15"/>
      <c r="BD9" s="15"/>
      <c r="BE9" s="21"/>
      <c r="BF9" s="15"/>
      <c r="BH9" s="15"/>
      <c r="CE9" s="11"/>
      <c r="CF9" s="16"/>
      <c r="CI9" s="16"/>
      <c r="CJ9" s="16"/>
      <c r="CP9" s="11"/>
      <c r="CQ9" s="16"/>
      <c r="CR9" s="16"/>
      <c r="CS9" s="16"/>
      <c r="DZ9" s="16"/>
      <c r="EB9" s="16"/>
    </row>
    <row r="10" spans="1:703" x14ac:dyDescent="0.25">
      <c r="S10" s="15"/>
      <c r="AN10" s="15"/>
      <c r="AT10" s="15"/>
      <c r="AU10" s="15"/>
      <c r="AV10" s="15"/>
      <c r="AW10" s="15"/>
      <c r="AX10" s="15"/>
      <c r="AY10" s="15"/>
      <c r="AZ10" s="15"/>
      <c r="BA10" s="15"/>
      <c r="BB10" s="15"/>
      <c r="BD10" s="15"/>
      <c r="BF10" s="15"/>
      <c r="BH10" s="15"/>
      <c r="CE10" s="11"/>
      <c r="CF10" s="16"/>
      <c r="CI10" s="16"/>
      <c r="CJ10" s="16"/>
      <c r="CP10" s="11"/>
      <c r="CQ10" s="16"/>
      <c r="CR10" s="16"/>
      <c r="CS10" s="16"/>
      <c r="DZ10" s="16"/>
      <c r="EB10" s="16"/>
    </row>
    <row r="11" spans="1:703" x14ac:dyDescent="0.25">
      <c r="S11" s="15"/>
      <c r="AN11" s="15"/>
      <c r="AT11" s="15"/>
      <c r="AU11" s="15"/>
      <c r="AV11" s="15"/>
      <c r="AW11" s="15"/>
      <c r="AX11" s="15"/>
      <c r="AY11" s="15"/>
      <c r="AZ11" s="15"/>
      <c r="BA11" s="15"/>
      <c r="BB11" s="15"/>
      <c r="BD11" s="15"/>
      <c r="BF11" s="15"/>
      <c r="BH11" s="15"/>
      <c r="CE11" s="11"/>
      <c r="CF11" s="16"/>
      <c r="CI11" s="16"/>
      <c r="CJ11" s="16"/>
      <c r="CP11" s="11"/>
      <c r="CQ11" s="16"/>
      <c r="CR11" s="16"/>
      <c r="CS11" s="16"/>
      <c r="DZ11" s="16"/>
      <c r="EB11" s="16"/>
    </row>
    <row r="12" spans="1:703" x14ac:dyDescent="0.25">
      <c r="S12" s="15"/>
      <c r="AN12" s="15"/>
      <c r="AT12" s="15"/>
      <c r="AU12" s="15"/>
      <c r="AV12" s="15"/>
      <c r="AW12" s="15"/>
      <c r="AX12" s="15"/>
      <c r="AY12" s="15"/>
      <c r="AZ12" s="15"/>
      <c r="BA12" s="15"/>
      <c r="BB12" s="15"/>
      <c r="BD12" s="15"/>
      <c r="BF12" s="15"/>
      <c r="BH12" s="15"/>
      <c r="CE12" s="11"/>
      <c r="CF12" s="16"/>
      <c r="CI12" s="16"/>
      <c r="CJ12" s="16"/>
      <c r="CP12" s="11"/>
      <c r="CQ12" s="16"/>
      <c r="CR12" s="16"/>
      <c r="CS12" s="16"/>
      <c r="DZ12" s="16"/>
      <c r="EB12" s="16"/>
    </row>
    <row r="13" spans="1:703" x14ac:dyDescent="0.25">
      <c r="S13" s="15"/>
      <c r="AN13" s="15"/>
      <c r="AT13" s="15"/>
      <c r="AU13" s="15"/>
      <c r="AV13" s="15"/>
      <c r="AW13" s="15"/>
      <c r="AX13" s="15"/>
      <c r="AY13" s="15"/>
      <c r="BA13" s="15"/>
      <c r="BF13" s="15"/>
      <c r="BH13" s="15"/>
      <c r="CE13" s="11"/>
      <c r="CF13" s="16"/>
      <c r="CI13" s="16"/>
      <c r="CJ13" s="16"/>
      <c r="CP13" s="11"/>
      <c r="CQ13" s="16"/>
      <c r="CR13" s="16"/>
      <c r="CS13" s="16"/>
      <c r="DZ13" s="16"/>
      <c r="EB13" s="16"/>
    </row>
    <row r="14" spans="1:703" x14ac:dyDescent="0.25">
      <c r="S14" s="15"/>
      <c r="AN14" s="15"/>
      <c r="AT14" s="15"/>
      <c r="AU14" s="15"/>
      <c r="AV14" s="15"/>
      <c r="AW14" s="15"/>
      <c r="AX14" s="15"/>
      <c r="AY14" s="15"/>
      <c r="AZ14" s="15"/>
      <c r="BA14" s="15"/>
      <c r="BB14" s="15"/>
      <c r="BD14" s="15"/>
      <c r="BF14" s="15"/>
      <c r="BH14" s="15"/>
      <c r="CE14" s="11"/>
      <c r="CF14" s="16"/>
      <c r="CI14" s="16"/>
      <c r="CJ14" s="16"/>
      <c r="CP14" s="11"/>
      <c r="CQ14" s="16"/>
      <c r="CR14" s="16"/>
      <c r="CS14" s="16"/>
      <c r="DZ14" s="16"/>
      <c r="EB14" s="16"/>
    </row>
    <row r="15" spans="1:703" x14ac:dyDescent="0.25">
      <c r="S15" s="15"/>
      <c r="AN15" s="15"/>
      <c r="AT15" s="15"/>
      <c r="AU15" s="15"/>
      <c r="AV15" s="15"/>
      <c r="AW15" s="15"/>
      <c r="AX15" s="15"/>
      <c r="AY15" s="15"/>
      <c r="AZ15" s="15"/>
      <c r="BA15" s="15"/>
      <c r="BB15" s="15"/>
      <c r="BD15" s="15"/>
      <c r="BF15" s="15"/>
      <c r="BH15" s="15"/>
      <c r="CE15" s="11"/>
      <c r="CF15" s="16"/>
      <c r="CI15" s="16"/>
      <c r="CJ15" s="16"/>
      <c r="CP15" s="11"/>
      <c r="CQ15" s="16"/>
      <c r="CR15" s="16"/>
      <c r="CS15" s="16"/>
      <c r="DZ15" s="16"/>
      <c r="EB15" s="16"/>
    </row>
    <row r="16" spans="1:703" x14ac:dyDescent="0.25">
      <c r="S16" s="15"/>
      <c r="AN16" s="15"/>
      <c r="AT16" s="15"/>
      <c r="AU16" s="15"/>
      <c r="AV16" s="15"/>
      <c r="AW16" s="15"/>
      <c r="AX16" s="15"/>
      <c r="AY16" s="15"/>
      <c r="AZ16" s="15"/>
      <c r="BA16" s="15"/>
      <c r="BB16" s="15"/>
      <c r="BD16" s="15"/>
      <c r="BF16" s="15"/>
      <c r="BH16" s="15"/>
      <c r="CE16" s="16"/>
      <c r="CF16" s="16"/>
      <c r="CI16" s="16"/>
      <c r="CJ16" s="16"/>
      <c r="CP16" s="11"/>
      <c r="CQ16" s="16"/>
      <c r="CR16" s="16"/>
      <c r="CS16" s="16"/>
      <c r="DZ16" s="16"/>
      <c r="EB16" s="16"/>
    </row>
    <row r="17" spans="19:132" x14ac:dyDescent="0.25">
      <c r="S17" s="15"/>
      <c r="AN17" s="15"/>
      <c r="AT17" s="15"/>
      <c r="AU17" s="15"/>
      <c r="AV17" s="15"/>
      <c r="AW17" s="15"/>
      <c r="AX17" s="15"/>
      <c r="AY17" s="15"/>
      <c r="BA17" s="15"/>
      <c r="BF17" s="15"/>
      <c r="BH17" s="15"/>
      <c r="CE17" s="16"/>
      <c r="CF17" s="16"/>
      <c r="CI17" s="16"/>
      <c r="CJ17" s="16"/>
      <c r="CP17" s="11"/>
      <c r="CQ17" s="16"/>
      <c r="CR17" s="16"/>
      <c r="CS17" s="16"/>
      <c r="DZ17" s="16"/>
      <c r="EB17" s="16"/>
    </row>
    <row r="18" spans="19:132" x14ac:dyDescent="0.25">
      <c r="S18" s="15"/>
      <c r="AN18" s="15"/>
      <c r="AT18" s="15"/>
      <c r="AU18" s="15"/>
      <c r="AV18" s="15"/>
      <c r="AW18" s="15"/>
      <c r="AX18" s="15"/>
      <c r="AY18" s="15"/>
      <c r="BA18" s="15"/>
      <c r="BF18" s="15"/>
      <c r="BH18" s="15"/>
      <c r="CE18" s="16"/>
      <c r="CF18" s="16"/>
      <c r="CI18" s="16"/>
      <c r="CJ18" s="16"/>
      <c r="CP18" s="11"/>
      <c r="CQ18" s="16"/>
      <c r="CR18" s="16"/>
      <c r="CS18" s="16"/>
      <c r="DZ18" s="16"/>
      <c r="EB18" s="16"/>
    </row>
    <row r="19" spans="19:132" x14ac:dyDescent="0.25">
      <c r="S19" s="15"/>
      <c r="AN19" s="15"/>
      <c r="AT19" s="15"/>
      <c r="AU19" s="15"/>
      <c r="AV19" s="15"/>
      <c r="AW19" s="15"/>
      <c r="AX19" s="15"/>
      <c r="AY19" s="15"/>
      <c r="BA19" s="15"/>
      <c r="BF19" s="15"/>
      <c r="BH19" s="15"/>
      <c r="CE19" s="11"/>
      <c r="CF19" s="16"/>
      <c r="CI19" s="16"/>
      <c r="CJ19" s="16"/>
      <c r="CP19" s="11"/>
      <c r="CQ19" s="16"/>
      <c r="CR19" s="16"/>
      <c r="CS19" s="16"/>
      <c r="DZ19" s="16"/>
      <c r="EB19" s="16"/>
    </row>
    <row r="20" spans="19:132" x14ac:dyDescent="0.25">
      <c r="S20" s="15"/>
      <c r="AN20" s="15"/>
      <c r="AT20" s="15"/>
      <c r="AU20" s="15"/>
      <c r="AV20" s="15"/>
      <c r="AW20" s="15"/>
      <c r="AX20" s="15"/>
      <c r="AY20" s="15"/>
      <c r="AZ20" s="15"/>
      <c r="BA20" s="15"/>
      <c r="BB20" s="15"/>
      <c r="BD20" s="15"/>
      <c r="BF20" s="15"/>
      <c r="BH20" s="15"/>
      <c r="CE20" s="16"/>
      <c r="CF20" s="16"/>
      <c r="CI20" s="16"/>
      <c r="CJ20" s="16"/>
      <c r="CP20" s="16"/>
      <c r="CQ20" s="16"/>
      <c r="CR20" s="16"/>
      <c r="CS20" s="16"/>
      <c r="DZ20" s="16"/>
      <c r="EB20" s="16"/>
    </row>
    <row r="21" spans="19:132" x14ac:dyDescent="0.25">
      <c r="S21" s="15"/>
      <c r="AN21" s="15"/>
      <c r="AT21" s="15"/>
      <c r="AU21" s="15"/>
      <c r="AV21" s="15"/>
      <c r="AW21" s="15"/>
      <c r="AX21" s="15"/>
      <c r="AY21" s="15"/>
      <c r="AZ21" s="15"/>
      <c r="BA21" s="15"/>
      <c r="BB21" s="15"/>
      <c r="BD21" s="15"/>
      <c r="BF21" s="15"/>
      <c r="BH21" s="15"/>
      <c r="CE21" s="16"/>
      <c r="CF21" s="16"/>
      <c r="CI21" s="16"/>
      <c r="CJ21" s="16"/>
      <c r="CP21" s="16"/>
      <c r="CQ21" s="16"/>
      <c r="CR21" s="16"/>
      <c r="CS21" s="16"/>
      <c r="DZ21" s="16"/>
      <c r="EB21" s="16"/>
    </row>
    <row r="22" spans="19:132" x14ac:dyDescent="0.25">
      <c r="S22" s="15"/>
      <c r="AN22" s="15"/>
      <c r="AT22" s="15"/>
      <c r="AU22" s="15"/>
      <c r="AV22" s="15"/>
      <c r="AW22" s="15"/>
      <c r="AX22" s="15"/>
      <c r="AY22" s="15"/>
      <c r="AZ22" s="15"/>
      <c r="BA22" s="15"/>
      <c r="BB22" s="15"/>
      <c r="BD22" s="15"/>
      <c r="BE22" s="21"/>
      <c r="BF22" s="15"/>
      <c r="BH22" s="15"/>
      <c r="CE22" s="11"/>
      <c r="CF22" s="16"/>
      <c r="CI22" s="16"/>
      <c r="CJ22" s="16"/>
      <c r="CP22" s="11"/>
      <c r="CQ22" s="16"/>
      <c r="CR22" s="16"/>
      <c r="CS22" s="16"/>
      <c r="DZ22" s="16"/>
      <c r="EB22" s="16"/>
    </row>
    <row r="23" spans="19:132" x14ac:dyDescent="0.25">
      <c r="S23" s="15"/>
      <c r="AN23" s="15"/>
      <c r="AT23" s="15"/>
      <c r="AU23" s="15"/>
      <c r="AV23" s="15"/>
      <c r="AW23" s="15"/>
      <c r="AX23" s="15"/>
      <c r="AY23" s="15"/>
      <c r="BA23" s="15"/>
      <c r="BF23" s="15"/>
      <c r="BH23" s="15"/>
      <c r="CE23" s="11"/>
      <c r="CF23" s="16"/>
      <c r="CI23" s="16"/>
      <c r="CJ23" s="16"/>
      <c r="CP23" s="11"/>
      <c r="CQ23" s="16"/>
      <c r="CR23" s="16"/>
      <c r="CS23" s="16"/>
      <c r="DZ23" s="16"/>
      <c r="EB23" s="16"/>
    </row>
    <row r="24" spans="19:132" x14ac:dyDescent="0.25">
      <c r="S24" s="15"/>
      <c r="AN24" s="15"/>
      <c r="AT24" s="15"/>
      <c r="AU24" s="15"/>
      <c r="AV24" s="15"/>
      <c r="AW24" s="15"/>
      <c r="AX24" s="15"/>
      <c r="AY24" s="15"/>
      <c r="AZ24" s="15"/>
      <c r="BA24" s="15"/>
      <c r="BB24" s="15"/>
      <c r="BD24" s="15"/>
      <c r="BF24" s="15"/>
      <c r="BH24" s="15"/>
      <c r="CE24" s="11"/>
      <c r="CF24" s="16"/>
      <c r="CI24" s="16"/>
      <c r="CJ24" s="16"/>
      <c r="CP24" s="11"/>
      <c r="CQ24" s="16"/>
      <c r="CR24" s="16"/>
      <c r="CS24" s="16"/>
      <c r="DZ24" s="16"/>
      <c r="EB24" s="16"/>
    </row>
    <row r="25" spans="19:132" x14ac:dyDescent="0.25">
      <c r="S25" s="15"/>
      <c r="AN25" s="15"/>
      <c r="AT25" s="15"/>
      <c r="AU25" s="15"/>
      <c r="AV25" s="15"/>
      <c r="AW25" s="15"/>
      <c r="AX25" s="15"/>
      <c r="AY25" s="15"/>
      <c r="AZ25" s="15"/>
      <c r="BA25" s="15"/>
      <c r="BB25" s="15"/>
      <c r="BF25" s="15"/>
      <c r="BH25" s="15"/>
      <c r="CE25" s="16"/>
      <c r="CF25" s="16"/>
      <c r="CI25" s="16"/>
      <c r="CJ25" s="16"/>
      <c r="CP25" s="11"/>
      <c r="CQ25" s="16"/>
      <c r="CR25" s="16"/>
      <c r="CS25" s="16"/>
      <c r="DZ25" s="16"/>
      <c r="EB25" s="16"/>
    </row>
    <row r="26" spans="19:132" x14ac:dyDescent="0.25">
      <c r="S26" s="15"/>
      <c r="AN26" s="15"/>
      <c r="AT26" s="15"/>
      <c r="AU26" s="15"/>
      <c r="AV26" s="15"/>
      <c r="AW26" s="15"/>
      <c r="AX26" s="15"/>
      <c r="AY26" s="15"/>
      <c r="BA26" s="15"/>
      <c r="BF26" s="15"/>
      <c r="BH26" s="15"/>
      <c r="CE26" s="11"/>
      <c r="CF26" s="16"/>
      <c r="CI26" s="16"/>
      <c r="CJ26" s="16"/>
      <c r="CP26" s="11"/>
      <c r="CQ26" s="16"/>
      <c r="CR26" s="16"/>
      <c r="CS26" s="16"/>
      <c r="DZ26" s="16"/>
      <c r="EB26" s="16"/>
    </row>
    <row r="27" spans="19:132" x14ac:dyDescent="0.25">
      <c r="S27" s="15"/>
      <c r="AN27" s="15"/>
      <c r="AT27" s="15"/>
      <c r="AU27" s="15"/>
      <c r="AV27" s="15"/>
      <c r="AW27" s="15"/>
      <c r="AX27" s="15"/>
      <c r="AY27" s="15"/>
      <c r="BA27" s="15"/>
      <c r="BF27" s="15"/>
      <c r="BH27" s="15"/>
      <c r="CE27" s="11"/>
      <c r="CF27" s="16"/>
      <c r="CI27" s="16"/>
      <c r="CJ27" s="16"/>
      <c r="CP27" s="11"/>
      <c r="CQ27" s="16"/>
      <c r="CR27" s="16"/>
      <c r="CS27" s="16"/>
      <c r="DZ27" s="16"/>
      <c r="EB27" s="16"/>
    </row>
    <row r="28" spans="19:132" x14ac:dyDescent="0.25">
      <c r="S28" s="15"/>
      <c r="AN28" s="15"/>
      <c r="AT28" s="15"/>
      <c r="AU28" s="15"/>
      <c r="AV28" s="15"/>
      <c r="AX28" s="15"/>
      <c r="AY28" s="15"/>
      <c r="BA28" s="15"/>
      <c r="BH28" s="15"/>
      <c r="CE28" s="11"/>
      <c r="CF28" s="16"/>
      <c r="CI28" s="16"/>
      <c r="CJ28" s="16"/>
      <c r="CP28" s="11"/>
      <c r="CQ28" s="16"/>
      <c r="CR28" s="16"/>
      <c r="CS28" s="16"/>
      <c r="DZ28" s="16"/>
      <c r="EB28" s="16"/>
    </row>
    <row r="29" spans="19:132" x14ac:dyDescent="0.25">
      <c r="S29" s="15"/>
      <c r="AN29" s="15"/>
      <c r="AT29" s="15"/>
      <c r="AU29" s="15"/>
      <c r="AV29" s="15"/>
      <c r="AW29" s="15"/>
      <c r="AX29" s="15"/>
      <c r="AY29" s="15"/>
      <c r="BA29" s="15"/>
      <c r="BF29" s="15"/>
      <c r="BH29" s="15"/>
      <c r="CE29" s="11"/>
      <c r="CF29" s="16"/>
      <c r="CI29" s="16"/>
      <c r="CJ29" s="16"/>
      <c r="CP29" s="11"/>
      <c r="CQ29" s="16"/>
      <c r="CR29" s="16"/>
      <c r="CS29" s="16"/>
      <c r="DZ29" s="16"/>
      <c r="EB29" s="16"/>
    </row>
    <row r="30" spans="19:132" x14ac:dyDescent="0.25">
      <c r="S30" s="15"/>
      <c r="AN30" s="15"/>
      <c r="AT30" s="15"/>
      <c r="AU30" s="15"/>
      <c r="AV30" s="15"/>
      <c r="AW30" s="15"/>
      <c r="AX30" s="15"/>
      <c r="AY30" s="15"/>
      <c r="BA30" s="15"/>
      <c r="BF30" s="15"/>
      <c r="BH30" s="15"/>
      <c r="CE30" s="11"/>
      <c r="CF30" s="16"/>
      <c r="CI30" s="11"/>
      <c r="CJ30" s="16"/>
      <c r="CP30" s="11"/>
      <c r="CQ30" s="16"/>
      <c r="CR30" s="11"/>
      <c r="CS30" s="16"/>
      <c r="DZ30" s="16"/>
      <c r="EB30" s="16"/>
    </row>
    <row r="31" spans="19:132" x14ac:dyDescent="0.25">
      <c r="S31" s="15"/>
      <c r="AN31" s="15"/>
      <c r="AT31" s="15"/>
      <c r="AU31" s="15"/>
      <c r="AV31" s="15"/>
      <c r="AW31" s="15"/>
      <c r="AX31" s="15"/>
      <c r="AY31" s="15"/>
      <c r="BA31" s="15"/>
      <c r="BH31" s="15"/>
      <c r="CE31" s="11"/>
      <c r="CF31" s="16"/>
      <c r="CI31" s="16"/>
      <c r="CJ31" s="16"/>
      <c r="CP31" s="11"/>
      <c r="CQ31" s="16"/>
      <c r="CR31" s="16"/>
      <c r="CS31" s="16"/>
      <c r="DZ31" s="16"/>
      <c r="EB31" s="16"/>
    </row>
    <row r="32" spans="19:132" x14ac:dyDescent="0.25">
      <c r="S32" s="15"/>
      <c r="AN32" s="15"/>
      <c r="AT32" s="15"/>
      <c r="AU32" s="15"/>
      <c r="AV32" s="15"/>
      <c r="AW32" s="15"/>
      <c r="AX32" s="15"/>
      <c r="AY32" s="15"/>
      <c r="BA32" s="15"/>
      <c r="BH32" s="15"/>
      <c r="CE32" s="11"/>
      <c r="CF32" s="16"/>
      <c r="CI32" s="16"/>
      <c r="CJ32" s="16"/>
      <c r="CP32" s="11"/>
      <c r="CQ32" s="16"/>
      <c r="CR32" s="16"/>
      <c r="CS32" s="16"/>
      <c r="DZ32" s="16"/>
      <c r="EB32" s="16"/>
    </row>
    <row r="33" spans="19:132" x14ac:dyDescent="0.25">
      <c r="S33" s="15"/>
      <c r="AN33" s="15"/>
      <c r="AT33" s="15"/>
      <c r="AU33" s="15"/>
      <c r="AV33" s="15"/>
      <c r="AX33" s="15"/>
      <c r="AY33" s="15"/>
      <c r="BA33" s="15"/>
      <c r="BF33" s="15"/>
      <c r="BH33" s="15"/>
      <c r="CE33" s="11"/>
      <c r="CF33" s="16"/>
      <c r="CI33" s="16"/>
      <c r="CJ33" s="16"/>
      <c r="CP33" s="11"/>
      <c r="CQ33" s="16"/>
      <c r="CR33" s="16"/>
      <c r="CS33" s="16"/>
      <c r="DZ33" s="16"/>
      <c r="EB33" s="16"/>
    </row>
    <row r="34" spans="19:132" x14ac:dyDescent="0.25">
      <c r="S34" s="15"/>
      <c r="AN34" s="15"/>
      <c r="AT34" s="15"/>
      <c r="AU34" s="15"/>
      <c r="AV34" s="15"/>
      <c r="AX34" s="15"/>
      <c r="AY34" s="15"/>
      <c r="BA34" s="15"/>
      <c r="BH34" s="15"/>
      <c r="CE34" s="11"/>
      <c r="CF34" s="16"/>
      <c r="CI34" s="16"/>
      <c r="CJ34" s="16"/>
      <c r="CP34" s="11"/>
      <c r="CQ34" s="16"/>
      <c r="CR34" s="16"/>
      <c r="CS34" s="16"/>
      <c r="DZ34" s="16"/>
      <c r="EB34" s="16"/>
    </row>
    <row r="35" spans="19:132" x14ac:dyDescent="0.25">
      <c r="S35" s="15"/>
      <c r="AN35" s="15"/>
      <c r="AT35" s="15"/>
      <c r="AU35" s="15"/>
      <c r="AV35" s="15"/>
      <c r="AX35" s="15"/>
      <c r="AY35" s="15"/>
      <c r="BA35" s="15"/>
      <c r="BH35" s="15"/>
      <c r="CE35" s="11"/>
      <c r="CF35" s="16"/>
      <c r="CI35" s="16"/>
      <c r="CJ35" s="16"/>
      <c r="CP35" s="11"/>
      <c r="CQ35" s="16"/>
      <c r="CR35" s="16"/>
      <c r="CS35" s="16"/>
      <c r="DZ35" s="16"/>
      <c r="EB35" s="16"/>
    </row>
    <row r="36" spans="19:132" x14ac:dyDescent="0.25">
      <c r="S36" s="15"/>
      <c r="AN36" s="15"/>
      <c r="AT36" s="15"/>
      <c r="AU36" s="15"/>
      <c r="AV36" s="15"/>
      <c r="AX36" s="15"/>
      <c r="AY36" s="15"/>
      <c r="BA36" s="15"/>
      <c r="BF36" s="15"/>
      <c r="BH36" s="15"/>
      <c r="CE36" s="11"/>
      <c r="CF36" s="16"/>
      <c r="CI36" s="16"/>
      <c r="CJ36" s="16"/>
      <c r="CP36" s="11"/>
      <c r="CQ36" s="16"/>
      <c r="CR36" s="16"/>
      <c r="CS36" s="16"/>
      <c r="DZ36" s="16"/>
      <c r="EB36" s="16"/>
    </row>
    <row r="37" spans="19:132" x14ac:dyDescent="0.25">
      <c r="S37" s="15"/>
      <c r="AN37" s="15"/>
      <c r="AT37" s="15"/>
      <c r="AU37" s="15"/>
      <c r="AV37" s="15"/>
      <c r="AX37" s="15"/>
      <c r="AY37" s="15"/>
      <c r="BA37" s="15"/>
      <c r="BB37" s="15"/>
      <c r="BD37" s="15"/>
      <c r="BE37" s="21"/>
      <c r="BH37" s="15"/>
      <c r="CE37" s="11"/>
      <c r="CF37" s="16"/>
      <c r="CI37" s="16"/>
      <c r="CJ37" s="16"/>
      <c r="CP37" s="11"/>
      <c r="CQ37" s="16"/>
      <c r="CR37" s="16"/>
      <c r="CS37" s="16"/>
      <c r="DZ37" s="16"/>
      <c r="EB37" s="16"/>
    </row>
    <row r="38" spans="19:132" x14ac:dyDescent="0.25">
      <c r="S38" s="15"/>
      <c r="AN38" s="15"/>
      <c r="AT38" s="15"/>
      <c r="AU38" s="15"/>
      <c r="AV38" s="15"/>
      <c r="AX38" s="15"/>
      <c r="AY38" s="15"/>
      <c r="BA38" s="15"/>
      <c r="BB38" s="15"/>
      <c r="BD38" s="15"/>
      <c r="BE38" s="21"/>
      <c r="BF38" s="15"/>
      <c r="BH38" s="15"/>
      <c r="CE38" s="11"/>
      <c r="CF38" s="16"/>
      <c r="CI38" s="16"/>
      <c r="CJ38" s="16"/>
      <c r="CP38" s="11"/>
      <c r="CQ38" s="16"/>
      <c r="CR38" s="16"/>
      <c r="CS38" s="16"/>
      <c r="DZ38" s="16"/>
      <c r="EB38" s="16"/>
    </row>
    <row r="39" spans="19:132" x14ac:dyDescent="0.25">
      <c r="S39" s="15"/>
      <c r="AN39" s="15"/>
      <c r="AT39" s="15"/>
      <c r="AU39" s="15"/>
      <c r="AV39" s="15"/>
      <c r="AX39" s="15"/>
      <c r="AY39" s="15"/>
      <c r="BA39" s="15"/>
      <c r="BF39" s="15"/>
      <c r="BH39" s="15"/>
      <c r="CE39" s="16"/>
      <c r="CF39" s="11"/>
      <c r="CI39" s="16"/>
      <c r="CJ39" s="16"/>
      <c r="CP39" s="11"/>
      <c r="CQ39" s="16"/>
      <c r="CR39" s="16"/>
      <c r="CS39" s="16"/>
      <c r="DZ39" s="16"/>
      <c r="EB39" s="16"/>
    </row>
    <row r="40" spans="19:132" x14ac:dyDescent="0.25">
      <c r="S40" s="15"/>
      <c r="AN40" s="15"/>
      <c r="AT40" s="15"/>
      <c r="AU40" s="15"/>
      <c r="AV40" s="15"/>
      <c r="AX40" s="15"/>
      <c r="AY40" s="15"/>
      <c r="BA40" s="15"/>
      <c r="BB40" s="15"/>
      <c r="BD40" s="15"/>
      <c r="BE40" s="21"/>
      <c r="BH40" s="15"/>
      <c r="CE40" s="16"/>
      <c r="CF40" s="16"/>
      <c r="CI40" s="16"/>
      <c r="CJ40" s="16"/>
      <c r="CP40" s="11"/>
      <c r="CQ40" s="16"/>
      <c r="CR40" s="16"/>
      <c r="CS40" s="16"/>
      <c r="EB40" s="16"/>
    </row>
    <row r="41" spans="19:132" x14ac:dyDescent="0.25">
      <c r="S41" s="15"/>
      <c r="AA41" s="16"/>
      <c r="AN41" s="15"/>
      <c r="AT41" s="15"/>
      <c r="AU41" s="15"/>
      <c r="AV41" s="15"/>
      <c r="AX41" s="15"/>
      <c r="AY41" s="15"/>
      <c r="BA41" s="15"/>
      <c r="BF41" s="15"/>
      <c r="BH41" s="15"/>
      <c r="CE41" s="16"/>
      <c r="CF41" s="16"/>
      <c r="CI41" s="16"/>
      <c r="CJ41" s="16"/>
      <c r="CP41" s="16"/>
      <c r="CQ41" s="16"/>
      <c r="CR41" s="16"/>
      <c r="CS41" s="16"/>
      <c r="DZ41" s="16"/>
      <c r="EB41" s="16"/>
    </row>
    <row r="42" spans="19:132" x14ac:dyDescent="0.25">
      <c r="S42" s="15"/>
      <c r="AN42" s="15"/>
      <c r="AT42" s="15"/>
      <c r="AU42" s="15"/>
      <c r="AV42" s="15"/>
      <c r="AX42" s="15"/>
      <c r="AY42" s="15"/>
      <c r="BA42" s="15"/>
      <c r="BB42" s="15"/>
      <c r="BD42" s="15"/>
      <c r="BE42" s="21"/>
      <c r="BF42" s="15"/>
      <c r="BH42" s="15"/>
      <c r="CE42" s="16"/>
      <c r="CF42" s="16"/>
      <c r="CI42" s="16"/>
      <c r="CJ42" s="16"/>
      <c r="CP42" s="11"/>
      <c r="CQ42" s="16"/>
      <c r="CR42" s="16"/>
      <c r="CS42" s="16"/>
      <c r="DZ42" s="16"/>
      <c r="EB42" s="16"/>
    </row>
    <row r="43" spans="19:132" x14ac:dyDescent="0.25">
      <c r="S43" s="15"/>
      <c r="AN43" s="15"/>
      <c r="AT43" s="15"/>
      <c r="AU43" s="15"/>
      <c r="AV43" s="15"/>
      <c r="AX43" s="15"/>
      <c r="AY43" s="15"/>
      <c r="BA43" s="15"/>
      <c r="BF43" s="15"/>
      <c r="BH43" s="15"/>
      <c r="CE43" s="16"/>
      <c r="CF43" s="16"/>
      <c r="CI43" s="16"/>
      <c r="CJ43" s="16"/>
      <c r="CP43" s="11"/>
      <c r="CQ43" s="16"/>
      <c r="CR43" s="16"/>
      <c r="CS43" s="16"/>
      <c r="EB43" s="16"/>
    </row>
    <row r="44" spans="19:132" x14ac:dyDescent="0.25">
      <c r="S44" s="15"/>
      <c r="AA44" s="16"/>
      <c r="AN44" s="15"/>
      <c r="AT44" s="15"/>
      <c r="AU44" s="15"/>
      <c r="AV44" s="15"/>
      <c r="AX44" s="15"/>
      <c r="AY44" s="15"/>
      <c r="BA44" s="15"/>
      <c r="BF44" s="15"/>
      <c r="BH44" s="15"/>
      <c r="CE44" s="16"/>
      <c r="CF44" s="16"/>
      <c r="CI44" s="16"/>
      <c r="CJ44" s="16"/>
      <c r="CP44" s="11"/>
      <c r="CQ44" s="16"/>
      <c r="CR44" s="16"/>
      <c r="CS44" s="16"/>
      <c r="DZ44" s="16"/>
      <c r="EB44" s="16"/>
    </row>
    <row r="45" spans="19:132" x14ac:dyDescent="0.25">
      <c r="S45" s="15"/>
      <c r="AN45" s="15"/>
      <c r="AT45" s="15"/>
      <c r="AU45" s="15"/>
      <c r="AV45" s="15"/>
      <c r="AX45" s="15"/>
      <c r="AY45" s="15"/>
      <c r="BA45" s="15"/>
      <c r="BF45" s="15"/>
      <c r="BH45" s="15"/>
      <c r="CE45" s="16"/>
      <c r="CF45" s="16"/>
      <c r="CI45" s="16"/>
      <c r="CJ45" s="16"/>
      <c r="CP45" s="11"/>
      <c r="CQ45" s="16"/>
      <c r="CR45" s="16"/>
      <c r="CS45" s="16"/>
      <c r="EB45" s="16"/>
    </row>
    <row r="46" spans="19:132" x14ac:dyDescent="0.25">
      <c r="S46" s="15"/>
      <c r="AA46" s="16"/>
      <c r="AN46" s="15"/>
      <c r="AT46" s="15"/>
      <c r="AU46" s="15"/>
      <c r="AV46" s="15"/>
      <c r="AX46" s="15"/>
      <c r="AY46" s="15"/>
      <c r="BA46" s="15"/>
      <c r="BF46" s="15"/>
      <c r="BH46" s="15"/>
      <c r="CE46" s="16"/>
      <c r="CF46" s="16"/>
      <c r="CI46" s="16"/>
      <c r="CJ46" s="16"/>
      <c r="CP46" s="11"/>
      <c r="CQ46" s="16"/>
      <c r="CR46" s="16"/>
      <c r="CS46" s="16"/>
      <c r="EB46" s="16"/>
    </row>
    <row r="47" spans="19:132" x14ac:dyDescent="0.25">
      <c r="S47" s="15"/>
      <c r="AA47" s="16"/>
      <c r="AN47" s="15"/>
      <c r="AT47" s="15"/>
      <c r="AU47" s="15"/>
      <c r="AV47" s="15"/>
      <c r="AX47" s="15"/>
      <c r="AY47" s="15"/>
      <c r="BA47" s="15"/>
      <c r="BF47" s="15"/>
      <c r="BH47" s="15"/>
      <c r="CE47" s="16"/>
      <c r="CF47" s="16"/>
      <c r="CI47" s="16"/>
      <c r="CJ47" s="16"/>
      <c r="CP47" s="11"/>
      <c r="CQ47" s="16"/>
      <c r="CR47" s="16"/>
      <c r="CS47" s="16"/>
      <c r="EB47" s="16"/>
    </row>
    <row r="48" spans="19:132" x14ac:dyDescent="0.25">
      <c r="S48" s="15"/>
      <c r="AN48" s="15"/>
      <c r="AT48" s="15"/>
      <c r="AU48" s="15"/>
      <c r="AV48" s="15"/>
      <c r="AW48" s="15"/>
      <c r="AX48" s="15"/>
      <c r="AY48" s="15"/>
      <c r="BA48" s="15"/>
      <c r="BF48" s="15"/>
      <c r="BH48" s="15"/>
      <c r="CE48" s="16"/>
      <c r="CF48" s="16"/>
      <c r="CI48" s="16"/>
      <c r="CJ48" s="16"/>
      <c r="CP48" s="11"/>
      <c r="CQ48" s="16"/>
      <c r="CR48" s="16"/>
      <c r="CS48" s="16"/>
      <c r="EB48" s="16"/>
    </row>
    <row r="49" spans="19:132" x14ac:dyDescent="0.25">
      <c r="S49" s="15"/>
      <c r="AA49" s="16"/>
      <c r="AN49" s="15"/>
      <c r="AT49" s="15"/>
      <c r="AU49" s="15"/>
      <c r="AV49" s="15"/>
      <c r="AX49" s="15"/>
      <c r="AY49" s="15"/>
      <c r="BA49" s="15"/>
      <c r="BH49" s="15"/>
      <c r="CE49" s="16"/>
      <c r="CF49" s="16"/>
      <c r="CI49" s="16"/>
      <c r="CJ49" s="16"/>
      <c r="CP49" s="16"/>
      <c r="CQ49" s="16"/>
      <c r="CR49" s="16"/>
      <c r="CS49" s="16"/>
      <c r="EB49" s="16"/>
    </row>
    <row r="50" spans="19:132" x14ac:dyDescent="0.25">
      <c r="S50" s="15"/>
      <c r="AN50" s="15"/>
      <c r="AT50" s="15"/>
      <c r="AU50" s="15"/>
      <c r="AV50" s="15"/>
      <c r="AX50" s="15"/>
      <c r="AY50" s="15"/>
      <c r="BA50" s="15"/>
      <c r="CE50" s="16"/>
      <c r="CF50" s="16"/>
      <c r="CI50" s="16"/>
      <c r="CJ50" s="16"/>
      <c r="CP50" s="11"/>
      <c r="CQ50" s="16"/>
      <c r="CR50" s="16"/>
      <c r="CS50" s="16"/>
      <c r="DZ50" s="16"/>
      <c r="EB50" s="16"/>
    </row>
    <row r="51" spans="19:132" x14ac:dyDescent="0.25">
      <c r="S51" s="15"/>
      <c r="AN51" s="15"/>
      <c r="AT51" s="15"/>
      <c r="AU51" s="15"/>
      <c r="AV51" s="15"/>
      <c r="AW51" s="15"/>
      <c r="AX51" s="15"/>
      <c r="AY51" s="15"/>
      <c r="CE51" s="16"/>
      <c r="CF51" s="16"/>
      <c r="CI51" s="16"/>
      <c r="CJ51" s="16"/>
      <c r="CP51" s="11"/>
      <c r="CQ51" s="16"/>
      <c r="CR51" s="16"/>
      <c r="CS51" s="16"/>
      <c r="EB51" s="16"/>
    </row>
    <row r="52" spans="19:132" x14ac:dyDescent="0.25">
      <c r="S52" s="15"/>
      <c r="AN52" s="15"/>
      <c r="AT52" s="15"/>
      <c r="AU52" s="15"/>
      <c r="AX52" s="15"/>
      <c r="AY52" s="15"/>
      <c r="BA52" s="15"/>
      <c r="BB52" s="15"/>
      <c r="BD52" s="15"/>
      <c r="BE52" s="21"/>
      <c r="BG52" s="15"/>
      <c r="BH52" s="15"/>
      <c r="CE52" s="16"/>
      <c r="CF52" s="16"/>
      <c r="CI52" s="16"/>
      <c r="CJ52" s="16"/>
      <c r="CP52" s="16"/>
      <c r="CQ52" s="16"/>
      <c r="CR52" s="16"/>
      <c r="CS52" s="16"/>
      <c r="DZ52" s="16"/>
      <c r="EB52" s="16"/>
    </row>
    <row r="53" spans="19:132" x14ac:dyDescent="0.25">
      <c r="S53" s="15"/>
      <c r="AA53" s="16"/>
      <c r="AN53" s="15"/>
      <c r="AT53" s="15"/>
      <c r="AU53" s="15"/>
      <c r="AV53" s="15"/>
      <c r="AX53" s="15"/>
      <c r="AY53" s="15"/>
      <c r="BA53" s="15"/>
      <c r="CE53" s="16"/>
      <c r="CF53" s="16"/>
      <c r="CI53" s="16"/>
      <c r="CJ53" s="16"/>
      <c r="CP53" s="11"/>
      <c r="CQ53" s="16"/>
      <c r="CR53" s="16"/>
      <c r="CS53" s="16"/>
      <c r="EB53" s="16"/>
    </row>
    <row r="54" spans="19:132" x14ac:dyDescent="0.25">
      <c r="S54" s="15"/>
      <c r="AN54" s="15"/>
      <c r="AT54" s="15"/>
      <c r="AU54" s="15"/>
      <c r="AV54" s="15"/>
      <c r="AX54" s="15"/>
      <c r="AY54" s="15"/>
      <c r="BA54" s="15"/>
      <c r="CE54" s="11"/>
      <c r="CF54" s="16"/>
      <c r="CI54" s="16"/>
      <c r="CJ54" s="16"/>
      <c r="CP54" s="11"/>
      <c r="CQ54" s="16"/>
      <c r="CR54" s="16"/>
      <c r="CS54" s="16"/>
      <c r="EB54" s="16"/>
    </row>
    <row r="55" spans="19:132" x14ac:dyDescent="0.25">
      <c r="S55" s="15"/>
      <c r="AA55" s="16"/>
      <c r="AN55" s="15"/>
      <c r="AT55" s="15"/>
      <c r="AU55" s="15"/>
      <c r="AV55" s="15"/>
      <c r="AX55" s="15"/>
      <c r="AY55" s="15"/>
      <c r="CE55" s="11"/>
      <c r="CF55" s="16"/>
      <c r="CI55" s="16"/>
      <c r="CJ55" s="16"/>
      <c r="CP55" s="11"/>
      <c r="CQ55" s="16"/>
      <c r="CR55" s="16"/>
      <c r="CS55" s="16"/>
      <c r="EB55" s="16"/>
    </row>
    <row r="56" spans="19:132" x14ac:dyDescent="0.25">
      <c r="S56" s="15"/>
      <c r="AA56" s="16"/>
      <c r="AN56" s="15"/>
      <c r="AT56" s="15"/>
      <c r="AU56" s="15"/>
      <c r="AV56" s="15"/>
      <c r="AX56" s="15"/>
      <c r="BA56" s="15"/>
      <c r="CE56" s="11"/>
      <c r="CF56" s="16"/>
      <c r="CI56" s="16"/>
      <c r="CJ56" s="16"/>
      <c r="CP56" s="11"/>
      <c r="CQ56" s="16"/>
      <c r="CR56" s="16"/>
      <c r="CS56" s="16"/>
      <c r="EB56" s="16"/>
    </row>
    <row r="57" spans="19:132" x14ac:dyDescent="0.25">
      <c r="S57" s="15"/>
      <c r="AA57" s="16"/>
      <c r="AN57" s="15"/>
      <c r="AT57" s="15"/>
      <c r="AU57" s="15"/>
      <c r="CE57" s="11"/>
      <c r="CF57" s="16"/>
      <c r="CI57" s="16"/>
      <c r="CP57" s="11"/>
      <c r="CQ57" s="16"/>
      <c r="CR57" s="16"/>
      <c r="EB57" s="16"/>
    </row>
    <row r="58" spans="19:132" x14ac:dyDescent="0.25">
      <c r="AN58" s="15"/>
      <c r="AT58" s="15"/>
      <c r="AU58" s="15"/>
      <c r="CE58" s="11"/>
      <c r="CF58" s="16"/>
      <c r="CI58" s="16"/>
      <c r="CP58" s="11"/>
      <c r="CQ58" s="16"/>
      <c r="CR58" s="16"/>
      <c r="EB58" s="16"/>
    </row>
    <row r="59" spans="19:132" x14ac:dyDescent="0.25">
      <c r="S59" s="15"/>
      <c r="AN59" s="15"/>
      <c r="AT59" s="15"/>
      <c r="AU59" s="15"/>
      <c r="CE59" s="16"/>
      <c r="CF59" s="16"/>
      <c r="CI59" s="16"/>
      <c r="CP59" s="16"/>
      <c r="CQ59" s="16"/>
      <c r="CR59" s="16"/>
      <c r="EB59" s="16"/>
    </row>
    <row r="60" spans="19:132" x14ac:dyDescent="0.25">
      <c r="S60" s="15"/>
      <c r="AN60" s="15"/>
      <c r="AT60" s="15"/>
      <c r="AU60" s="15"/>
      <c r="CE60" s="11"/>
      <c r="CF60" s="16"/>
      <c r="CI60" s="16"/>
      <c r="CP60" s="11"/>
      <c r="CQ60" s="16"/>
      <c r="CR60" s="16"/>
      <c r="EB60" s="16"/>
    </row>
    <row r="61" spans="19:132" x14ac:dyDescent="0.25">
      <c r="S61" s="15"/>
      <c r="AN61" s="15"/>
      <c r="AT61" s="15"/>
      <c r="AU61" s="15"/>
      <c r="CE61" s="16"/>
      <c r="CF61" s="16"/>
      <c r="CI61" s="16"/>
      <c r="CP61" s="16"/>
      <c r="CQ61" s="16"/>
      <c r="CR61" s="16"/>
      <c r="EB61" s="16"/>
    </row>
    <row r="62" spans="19:132" x14ac:dyDescent="0.25">
      <c r="S62" s="15"/>
      <c r="AN62" s="15"/>
      <c r="AT62" s="15"/>
      <c r="AU62" s="15"/>
      <c r="CE62" s="16"/>
      <c r="CF62" s="16"/>
      <c r="CI62" s="16"/>
      <c r="CP62" s="16"/>
      <c r="CQ62" s="16"/>
      <c r="CR62" s="16"/>
      <c r="EB62" s="16"/>
    </row>
    <row r="63" spans="19:132" x14ac:dyDescent="0.25">
      <c r="AN63" s="15"/>
      <c r="AT63" s="15"/>
      <c r="AU63" s="15"/>
      <c r="CE63" s="16"/>
      <c r="CF63" s="16"/>
      <c r="CI63" s="16"/>
      <c r="CP63" s="16"/>
      <c r="CQ63" s="16"/>
      <c r="CR63" s="16"/>
      <c r="EB63" s="16"/>
    </row>
    <row r="64" spans="19:132" x14ac:dyDescent="0.25">
      <c r="AN64" s="15"/>
      <c r="AT64" s="15"/>
      <c r="AU64" s="15"/>
      <c r="CE64" s="11"/>
      <c r="CF64" s="16"/>
      <c r="CI64" s="16"/>
      <c r="CP64" s="11"/>
      <c r="CQ64" s="16"/>
      <c r="CR64" s="16"/>
      <c r="EB64" s="16"/>
    </row>
    <row r="65" spans="40:132" x14ac:dyDescent="0.25">
      <c r="AN65" s="15"/>
      <c r="AT65" s="15"/>
      <c r="AU65" s="15"/>
      <c r="CE65" s="16"/>
      <c r="CF65" s="16"/>
      <c r="CI65" s="16"/>
      <c r="CP65" s="16"/>
      <c r="CQ65" s="16"/>
      <c r="CR65" s="16"/>
      <c r="EB65" s="16"/>
    </row>
    <row r="66" spans="40:132" x14ac:dyDescent="0.25">
      <c r="AN66" s="15"/>
      <c r="AT66" s="15"/>
      <c r="AU66" s="15"/>
      <c r="CE66" s="16"/>
      <c r="CF66" s="16"/>
      <c r="CI66" s="16"/>
      <c r="CP66" s="16"/>
      <c r="CQ66" s="16"/>
      <c r="CR66" s="16"/>
      <c r="EB66" s="16"/>
    </row>
    <row r="67" spans="40:132" x14ac:dyDescent="0.25">
      <c r="AN67" s="15"/>
      <c r="AT67" s="15"/>
      <c r="AU67" s="15"/>
      <c r="CE67" s="16"/>
      <c r="CF67" s="16"/>
      <c r="CI67" s="16"/>
      <c r="CP67" s="16"/>
      <c r="CQ67" s="16"/>
      <c r="CR67" s="16"/>
      <c r="EB67" s="16"/>
    </row>
    <row r="68" spans="40:132" x14ac:dyDescent="0.25">
      <c r="AN68" s="15"/>
      <c r="AT68" s="15"/>
      <c r="AU68" s="15"/>
      <c r="CE68" s="16"/>
      <c r="CF68" s="16"/>
      <c r="CI68" s="16"/>
      <c r="CP68" s="16"/>
      <c r="CQ68" s="16"/>
      <c r="CR68" s="16"/>
      <c r="EB68" s="16"/>
    </row>
    <row r="69" spans="40:132" x14ac:dyDescent="0.25">
      <c r="AN69" s="15"/>
      <c r="AT69" s="15"/>
      <c r="AU69" s="15"/>
      <c r="CE69" s="16"/>
      <c r="CF69" s="16"/>
      <c r="CI69" s="16"/>
      <c r="CP69" s="16"/>
      <c r="CQ69" s="16"/>
      <c r="CR69" s="16"/>
      <c r="EB69" s="16"/>
    </row>
    <row r="70" spans="40:132" x14ac:dyDescent="0.25">
      <c r="AN70" s="15"/>
      <c r="AT70" s="15"/>
      <c r="AU70" s="15"/>
      <c r="CE70" s="16"/>
      <c r="CF70" s="16"/>
      <c r="CI70" s="16"/>
      <c r="CP70" s="16"/>
      <c r="CQ70" s="16"/>
      <c r="CR70" s="16"/>
      <c r="EB70" s="16"/>
    </row>
    <row r="71" spans="40:132" x14ac:dyDescent="0.25">
      <c r="AN71" s="15"/>
      <c r="AT71" s="15"/>
      <c r="AU71" s="15"/>
      <c r="CE71" s="16"/>
      <c r="CF71" s="16"/>
      <c r="CI71" s="16"/>
      <c r="CP71" s="16"/>
      <c r="CQ71" s="16"/>
      <c r="CR71" s="16"/>
      <c r="EB71" s="16"/>
    </row>
    <row r="72" spans="40:132" x14ac:dyDescent="0.25">
      <c r="AN72" s="15"/>
      <c r="AT72" s="15"/>
      <c r="AU72" s="15"/>
      <c r="CE72" s="11"/>
      <c r="CF72" s="16"/>
      <c r="CI72" s="16"/>
      <c r="CP72" s="11"/>
      <c r="CQ72" s="16"/>
      <c r="CR72" s="16"/>
      <c r="EB72" s="16"/>
    </row>
    <row r="73" spans="40:132" x14ac:dyDescent="0.25">
      <c r="AN73" s="15"/>
      <c r="AT73" s="15"/>
      <c r="AU73" s="15"/>
      <c r="CE73" s="11"/>
      <c r="CF73" s="16"/>
      <c r="CI73" s="16"/>
      <c r="CP73" s="11"/>
      <c r="CQ73" s="16"/>
      <c r="CR73" s="16"/>
      <c r="EB73" s="16"/>
    </row>
    <row r="74" spans="40:132" x14ac:dyDescent="0.25">
      <c r="AN74" s="15"/>
      <c r="AT74" s="15"/>
      <c r="AU74" s="15"/>
      <c r="CE74" s="16"/>
      <c r="CF74" s="16"/>
      <c r="CI74" s="16"/>
      <c r="CP74" s="11"/>
      <c r="CQ74" s="16"/>
      <c r="CR74" s="16"/>
      <c r="EB74" s="16"/>
    </row>
    <row r="75" spans="40:132" x14ac:dyDescent="0.25">
      <c r="AN75" s="15"/>
      <c r="AT75" s="15"/>
      <c r="AU75" s="15"/>
      <c r="CE75" s="16"/>
      <c r="CF75" s="16"/>
      <c r="CI75" s="16"/>
      <c r="CP75" s="16"/>
      <c r="CQ75" s="16"/>
      <c r="CR75" s="16"/>
      <c r="EB75" s="16"/>
    </row>
    <row r="76" spans="40:132" x14ac:dyDescent="0.25">
      <c r="AN76" s="15"/>
      <c r="AT76" s="15"/>
      <c r="AU76" s="15"/>
      <c r="CE76" s="16"/>
      <c r="CF76" s="16"/>
      <c r="CI76" s="16"/>
      <c r="CP76" s="16"/>
      <c r="CQ76" s="16"/>
      <c r="CR76" s="16"/>
      <c r="EB76" s="16"/>
    </row>
    <row r="77" spans="40:132" x14ac:dyDescent="0.25">
      <c r="AN77" s="15"/>
      <c r="AT77" s="15"/>
      <c r="AU77" s="15"/>
      <c r="CE77" s="16"/>
      <c r="CF77" s="16"/>
      <c r="CI77" s="16"/>
      <c r="CP77" s="11"/>
      <c r="CQ77" s="16"/>
      <c r="CR77" s="16"/>
      <c r="EB77" s="16"/>
    </row>
    <row r="78" spans="40:132" x14ac:dyDescent="0.25">
      <c r="AN78" s="15"/>
      <c r="AT78" s="15"/>
      <c r="AU78" s="15"/>
      <c r="CE78" s="11"/>
      <c r="CF78" s="16"/>
      <c r="CI78" s="16"/>
      <c r="CP78" s="11"/>
      <c r="CQ78" s="16"/>
      <c r="CR78" s="16"/>
      <c r="EB78" s="16"/>
    </row>
    <row r="79" spans="40:132" x14ac:dyDescent="0.25">
      <c r="AN79" s="15"/>
      <c r="AT79" s="15"/>
      <c r="AU79" s="15"/>
      <c r="CE79" s="11"/>
      <c r="CF79" s="16"/>
      <c r="CI79" s="16"/>
      <c r="CP79" s="11"/>
      <c r="CQ79" s="16"/>
      <c r="CR79" s="16"/>
      <c r="EB79" s="16"/>
    </row>
    <row r="80" spans="40:132" x14ac:dyDescent="0.25">
      <c r="AN80" s="15"/>
      <c r="AT80" s="15"/>
      <c r="AU80" s="15"/>
      <c r="CE80" s="11"/>
      <c r="CF80" s="16"/>
      <c r="CI80" s="16"/>
      <c r="CP80" s="11"/>
      <c r="CR80" s="16"/>
    </row>
    <row r="81" spans="40:96" x14ac:dyDescent="0.25">
      <c r="AN81" s="15"/>
      <c r="AT81" s="15"/>
      <c r="CE81" s="16"/>
      <c r="CI81" s="16"/>
      <c r="CP81" s="11"/>
      <c r="CR81" s="16"/>
    </row>
    <row r="82" spans="40:96" x14ac:dyDescent="0.25">
      <c r="AN82" s="15"/>
      <c r="AT82" s="15"/>
      <c r="CE82" s="16"/>
      <c r="CI82" s="16"/>
      <c r="CP82" s="11"/>
      <c r="CR82" s="16"/>
    </row>
    <row r="83" spans="40:96" x14ac:dyDescent="0.25">
      <c r="AN83" s="15"/>
      <c r="AT83" s="15"/>
      <c r="AU83" s="15"/>
      <c r="CE83" s="16"/>
      <c r="CF83" s="16"/>
      <c r="CI83" s="16"/>
      <c r="CP83" s="11"/>
      <c r="CQ83" s="16"/>
      <c r="CR83" s="16"/>
    </row>
    <row r="84" spans="40:96" x14ac:dyDescent="0.25">
      <c r="AN84" s="15"/>
      <c r="AT84" s="15"/>
      <c r="AU84" s="15"/>
      <c r="CE84" s="16"/>
      <c r="CF84" s="16"/>
      <c r="CI84" s="16"/>
      <c r="CP84" s="11"/>
      <c r="CQ84" s="16"/>
      <c r="CR84" s="16"/>
    </row>
    <row r="85" spans="40:96" x14ac:dyDescent="0.25">
      <c r="AN85" s="15"/>
      <c r="AT85" s="15"/>
      <c r="AU85" s="15"/>
      <c r="CE85" s="16"/>
      <c r="CF85" s="16"/>
      <c r="CI85" s="16"/>
      <c r="CP85" s="11"/>
      <c r="CR85" s="16"/>
    </row>
    <row r="86" spans="40:96" x14ac:dyDescent="0.25">
      <c r="AN86" s="15"/>
      <c r="AT86" s="15"/>
      <c r="AU86" s="15"/>
      <c r="CE86" s="16"/>
      <c r="CF86" s="16"/>
      <c r="CI86" s="16"/>
      <c r="CP86" s="11"/>
      <c r="CQ86" s="16"/>
      <c r="CR86" s="16"/>
    </row>
    <row r="87" spans="40:96" x14ac:dyDescent="0.25">
      <c r="AN87" s="15"/>
      <c r="AT87" s="15"/>
      <c r="AU87" s="15"/>
      <c r="CE87" s="16"/>
      <c r="CF87" s="16"/>
      <c r="CI87" s="16"/>
      <c r="CP87" s="11"/>
      <c r="CQ87" s="16"/>
      <c r="CR87" s="16"/>
    </row>
    <row r="88" spans="40:96" x14ac:dyDescent="0.25">
      <c r="AN88" s="15"/>
      <c r="AT88" s="15"/>
      <c r="AU88" s="15"/>
      <c r="CE88" s="16"/>
      <c r="CF88" s="16"/>
      <c r="CI88" s="16"/>
      <c r="CP88" s="11"/>
      <c r="CQ88" s="16"/>
      <c r="CR88" s="16"/>
    </row>
    <row r="89" spans="40:96" x14ac:dyDescent="0.25">
      <c r="AN89" s="15"/>
      <c r="AT89" s="15"/>
      <c r="AU89" s="15"/>
      <c r="CE89" s="16"/>
      <c r="CF89" s="16"/>
      <c r="CI89" s="16"/>
      <c r="CP89" s="11"/>
      <c r="CQ89" s="16"/>
      <c r="CR89" s="16"/>
    </row>
    <row r="90" spans="40:96" x14ac:dyDescent="0.25">
      <c r="AN90" s="15"/>
      <c r="AT90" s="15"/>
      <c r="AU90" s="15"/>
      <c r="CE90" s="16"/>
      <c r="CF90" s="16"/>
      <c r="CI90" s="16"/>
      <c r="CP90" s="11"/>
      <c r="CQ90" s="16"/>
      <c r="CR90" s="16"/>
    </row>
    <row r="91" spans="40:96" x14ac:dyDescent="0.25">
      <c r="AN91" s="15"/>
      <c r="AT91" s="15"/>
      <c r="AU91" s="15"/>
      <c r="CE91" s="16"/>
      <c r="CF91" s="16"/>
      <c r="CI91" s="16"/>
      <c r="CP91" s="11"/>
      <c r="CR91" s="16"/>
    </row>
    <row r="92" spans="40:96" x14ac:dyDescent="0.25">
      <c r="AN92" s="15"/>
      <c r="AT92" s="15"/>
      <c r="CE92" s="16"/>
      <c r="CI92" s="16"/>
      <c r="CP92" s="11"/>
      <c r="CR92" s="16"/>
    </row>
    <row r="93" spans="40:96" x14ac:dyDescent="0.25">
      <c r="CE93" s="11"/>
      <c r="CI93" s="11"/>
      <c r="CP93" s="11"/>
      <c r="CR93" s="11"/>
    </row>
    <row r="94" spans="40:96" x14ac:dyDescent="0.25">
      <c r="AN94" s="15"/>
      <c r="AT94" s="15"/>
      <c r="AU94" s="15"/>
      <c r="CE94" s="11"/>
      <c r="CF94" s="16"/>
      <c r="CI94" s="16"/>
      <c r="CP94" s="11"/>
      <c r="CR94" s="16"/>
    </row>
    <row r="95" spans="40:96" x14ac:dyDescent="0.25">
      <c r="AN95" s="15"/>
      <c r="AT95" s="15"/>
      <c r="AU95" s="15"/>
      <c r="CE95" s="16"/>
      <c r="CF95" s="16"/>
      <c r="CI95" s="16"/>
      <c r="CP95" s="11"/>
      <c r="CR95" s="16"/>
    </row>
    <row r="96" spans="40:96" x14ac:dyDescent="0.25">
      <c r="AN96" s="15"/>
      <c r="AT96" s="15"/>
      <c r="AU96" s="15"/>
      <c r="CE96" s="16"/>
      <c r="CF96" s="16"/>
      <c r="CI96" s="16"/>
      <c r="CP96" s="11"/>
      <c r="CR96" s="16"/>
    </row>
    <row r="97" spans="40:96" x14ac:dyDescent="0.25">
      <c r="AN97" s="15"/>
      <c r="AT97" s="15"/>
      <c r="AU97" s="15"/>
      <c r="CE97" s="16"/>
      <c r="CF97" s="16"/>
      <c r="CI97" s="16"/>
      <c r="CP97" s="11"/>
      <c r="CR97" s="16"/>
    </row>
    <row r="98" spans="40:96" x14ac:dyDescent="0.25">
      <c r="AN98" s="15"/>
      <c r="AT98" s="15"/>
      <c r="CE98" s="16"/>
      <c r="CI98" s="11"/>
      <c r="CP98" s="11"/>
      <c r="CR98" s="1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B8BF97-625E-6C4D-AAAE-AE0B5D81B7B9}">
  <dimension ref="A1:AAA2"/>
  <sheetViews>
    <sheetView zoomScaleNormal="100" workbookViewId="0">
      <selection activeCell="A2" sqref="A2"/>
    </sheetView>
  </sheetViews>
  <sheetFormatPr defaultColWidth="11" defaultRowHeight="15.75" x14ac:dyDescent="0.25"/>
  <cols>
    <col min="1" max="1" width="8.375" bestFit="1" customWidth="1"/>
    <col min="2" max="2" width="7.5" bestFit="1" customWidth="1"/>
    <col min="3" max="3" width="6.375" bestFit="1" customWidth="1"/>
    <col min="4" max="4" width="16" bestFit="1" customWidth="1"/>
    <col min="5" max="5" width="16.375" bestFit="1" customWidth="1"/>
    <col min="6" max="6" width="18.125" bestFit="1" customWidth="1"/>
    <col min="7" max="7" width="19.625" bestFit="1" customWidth="1"/>
    <col min="8" max="8" width="27.5" bestFit="1" customWidth="1"/>
    <col min="9" max="9" width="18.375" style="11" bestFit="1" customWidth="1"/>
    <col min="10" max="10" width="16.875" style="11" bestFit="1" customWidth="1"/>
    <col min="11" max="11" width="12.625" style="11" customWidth="1"/>
    <col min="12" max="12" width="12.125" style="11" bestFit="1" customWidth="1"/>
    <col min="13" max="13" width="16.875" style="11" bestFit="1" customWidth="1"/>
    <col min="14" max="14" width="10.875" style="11"/>
    <col min="15" max="15" width="16.25" style="11" bestFit="1" customWidth="1"/>
    <col min="16" max="16" width="11" style="11"/>
  </cols>
  <sheetData>
    <row r="1" spans="1:703" x14ac:dyDescent="0.25">
      <c r="A1" t="s">
        <v>314</v>
      </c>
      <c r="B1" t="s">
        <v>157</v>
      </c>
      <c r="C1" t="s">
        <v>315</v>
      </c>
      <c r="D1" t="s">
        <v>4</v>
      </c>
      <c r="E1" t="s">
        <v>5</v>
      </c>
      <c r="F1" t="s">
        <v>6</v>
      </c>
      <c r="G1" t="s">
        <v>8</v>
      </c>
      <c r="H1" t="s">
        <v>316</v>
      </c>
      <c r="I1" s="11" t="s">
        <v>317</v>
      </c>
      <c r="J1" s="11" t="s">
        <v>22</v>
      </c>
      <c r="K1" s="11" t="s">
        <v>29</v>
      </c>
      <c r="L1" s="11" t="s">
        <v>325</v>
      </c>
      <c r="M1" s="11" t="s">
        <v>326</v>
      </c>
      <c r="N1" s="11" t="s">
        <v>327</v>
      </c>
      <c r="O1" s="11" t="s">
        <v>92</v>
      </c>
      <c r="ZZ1" t="s">
        <v>142</v>
      </c>
      <c r="AAA1" t="s">
        <v>190</v>
      </c>
    </row>
    <row r="2" spans="1:703" x14ac:dyDescent="0.25">
      <c r="ZZ2" t="str">
        <f>E2&amp; "|" &amp;F2</f>
        <v>|</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C857A-9238-4042-92ED-D56C07283967}">
  <sheetPr codeName="Sheet2"/>
  <dimension ref="A1:AAC16"/>
  <sheetViews>
    <sheetView zoomScaleNormal="100" workbookViewId="0">
      <selection activeCell="C2" sqref="C2"/>
    </sheetView>
  </sheetViews>
  <sheetFormatPr defaultColWidth="8.875" defaultRowHeight="15.75" x14ac:dyDescent="0.25"/>
  <cols>
    <col min="1" max="1" width="10.375" bestFit="1" customWidth="1"/>
    <col min="2" max="3" width="10.375" customWidth="1"/>
    <col min="4" max="4" width="15.875" bestFit="1" customWidth="1"/>
    <col min="5" max="5" width="11.875" bestFit="1" customWidth="1"/>
    <col min="6" max="6" width="6.25" bestFit="1" customWidth="1"/>
    <col min="7" max="7" width="18" bestFit="1" customWidth="1"/>
    <col min="8" max="8" width="15.75" bestFit="1" customWidth="1"/>
    <col min="9" max="9" width="32" bestFit="1" customWidth="1"/>
    <col min="10" max="10" width="14.5" bestFit="1" customWidth="1"/>
    <col min="11" max="11" width="22.875" bestFit="1" customWidth="1"/>
    <col min="12" max="12" width="11.75" bestFit="1" customWidth="1"/>
    <col min="13" max="13" width="14" bestFit="1" customWidth="1"/>
    <col min="14" max="14" width="10.375" style="11" bestFit="1" customWidth="1"/>
    <col min="15" max="15" width="8.375" style="11" bestFit="1" customWidth="1"/>
    <col min="16" max="16" width="11.875" bestFit="1" customWidth="1"/>
    <col min="17" max="17" width="11.875" style="11" bestFit="1" customWidth="1"/>
    <col min="18" max="18" width="15.75" style="11" bestFit="1" customWidth="1"/>
    <col min="19" max="19" width="17.75" style="11" bestFit="1" customWidth="1"/>
    <col min="20" max="20" width="11.875" style="11" bestFit="1" customWidth="1"/>
    <col min="21" max="21" width="9.875" bestFit="1" customWidth="1"/>
    <col min="22" max="22" width="13.875" bestFit="1" customWidth="1"/>
    <col min="23" max="23" width="20.25" bestFit="1" customWidth="1"/>
    <col min="24" max="24" width="25" bestFit="1" customWidth="1"/>
    <col min="25" max="25" width="15.875" bestFit="1" customWidth="1"/>
    <col min="26" max="26" width="9.5" bestFit="1" customWidth="1"/>
    <col min="27" max="27" width="8.75" bestFit="1" customWidth="1"/>
    <col min="28" max="28" width="9.25" bestFit="1" customWidth="1"/>
    <col min="29" max="29" width="65.25" bestFit="1" customWidth="1"/>
    <col min="30" max="30" width="24.875" bestFit="1" customWidth="1"/>
    <col min="31" max="31" width="14.25" bestFit="1" customWidth="1"/>
    <col min="33" max="33" width="11.875" bestFit="1" customWidth="1"/>
    <col min="34" max="34" width="21.5" bestFit="1" customWidth="1"/>
    <col min="35" max="35" width="21.875" bestFit="1" customWidth="1"/>
    <col min="36" max="36" width="14.25" bestFit="1" customWidth="1"/>
    <col min="37" max="37" width="9.375" bestFit="1" customWidth="1"/>
    <col min="38" max="38" width="12.625" bestFit="1" customWidth="1"/>
    <col min="701" max="701" width="13.5" bestFit="1" customWidth="1"/>
  </cols>
  <sheetData>
    <row r="1" spans="1:705" x14ac:dyDescent="0.25">
      <c r="A1" t="s">
        <v>381</v>
      </c>
      <c r="B1" t="s">
        <v>5</v>
      </c>
      <c r="C1" t="s">
        <v>6</v>
      </c>
      <c r="D1" t="s">
        <v>382</v>
      </c>
      <c r="E1" t="s">
        <v>337</v>
      </c>
      <c r="F1" t="s">
        <v>383</v>
      </c>
      <c r="G1" t="s">
        <v>8</v>
      </c>
      <c r="H1" t="s">
        <v>5</v>
      </c>
      <c r="I1" t="s">
        <v>384</v>
      </c>
      <c r="J1" s="11" t="s">
        <v>385</v>
      </c>
      <c r="K1" s="11" t="s">
        <v>386</v>
      </c>
      <c r="L1" t="s">
        <v>387</v>
      </c>
      <c r="M1" t="s">
        <v>388</v>
      </c>
      <c r="N1" s="11" t="s">
        <v>389</v>
      </c>
      <c r="O1" s="11" t="s">
        <v>238</v>
      </c>
      <c r="P1" t="s">
        <v>43</v>
      </c>
      <c r="Q1" s="11" t="s">
        <v>50</v>
      </c>
      <c r="R1" s="11" t="s">
        <v>57</v>
      </c>
      <c r="S1" s="11" t="s">
        <v>64</v>
      </c>
      <c r="T1" s="11" t="s">
        <v>92</v>
      </c>
      <c r="U1" t="s">
        <v>390</v>
      </c>
      <c r="V1" t="s">
        <v>391</v>
      </c>
      <c r="W1" t="s">
        <v>392</v>
      </c>
      <c r="X1" t="s">
        <v>393</v>
      </c>
      <c r="Y1" t="s">
        <v>394</v>
      </c>
      <c r="Z1" t="s">
        <v>395</v>
      </c>
      <c r="AA1" t="s">
        <v>396</v>
      </c>
      <c r="AB1" t="s">
        <v>397</v>
      </c>
      <c r="AC1" t="s">
        <v>398</v>
      </c>
      <c r="AD1" t="s">
        <v>167</v>
      </c>
      <c r="AE1" t="s">
        <v>399</v>
      </c>
      <c r="AF1" t="s">
        <v>400</v>
      </c>
      <c r="AG1" t="s">
        <v>401</v>
      </c>
      <c r="AH1" t="s">
        <v>402</v>
      </c>
      <c r="AI1" t="s">
        <v>403</v>
      </c>
      <c r="AJ1" t="s">
        <v>404</v>
      </c>
      <c r="AK1" t="s">
        <v>405</v>
      </c>
      <c r="AL1" t="s">
        <v>406</v>
      </c>
      <c r="ZY1" t="str">
        <f>E1&amp; "|" &amp;F1</f>
        <v>Vendor Name|Vessel</v>
      </c>
      <c r="ZZ1" t="s">
        <v>142</v>
      </c>
      <c r="AAA1" t="s">
        <v>190</v>
      </c>
      <c r="AAC1" t="str">
        <f t="shared" ref="AAC1:AAC16" si="0">E1&amp; "|" &amp;F1</f>
        <v>Vendor Name|Vessel</v>
      </c>
    </row>
    <row r="2" spans="1:705" x14ac:dyDescent="0.25">
      <c r="J2" s="11"/>
      <c r="K2" s="11"/>
      <c r="ZZ2" t="str">
        <f t="shared" ref="ZZ2:ZZ16" si="1">B2&amp; "|" &amp;C2</f>
        <v>|</v>
      </c>
    </row>
    <row r="3" spans="1:705" x14ac:dyDescent="0.25">
      <c r="J3" s="11"/>
      <c r="K3" s="11"/>
      <c r="ZZ3" t="str">
        <f t="shared" si="1"/>
        <v>|</v>
      </c>
    </row>
    <row r="4" spans="1:705" x14ac:dyDescent="0.25">
      <c r="J4" s="11"/>
      <c r="K4" s="11"/>
      <c r="ZZ4" t="str">
        <f t="shared" si="1"/>
        <v>|</v>
      </c>
    </row>
    <row r="5" spans="1:705" x14ac:dyDescent="0.25">
      <c r="J5" s="11"/>
      <c r="K5" s="11"/>
      <c r="ZZ5" t="str">
        <f t="shared" si="1"/>
        <v>|</v>
      </c>
    </row>
    <row r="6" spans="1:705" x14ac:dyDescent="0.25">
      <c r="J6" s="11"/>
      <c r="K6" s="11"/>
      <c r="ZZ6" t="str">
        <f t="shared" si="1"/>
        <v>|</v>
      </c>
    </row>
    <row r="7" spans="1:705" x14ac:dyDescent="0.25">
      <c r="J7" s="11"/>
      <c r="K7" s="11"/>
      <c r="ZZ7" t="str">
        <f t="shared" si="1"/>
        <v>|</v>
      </c>
    </row>
    <row r="8" spans="1:705" x14ac:dyDescent="0.25">
      <c r="J8" s="11"/>
      <c r="K8" s="11"/>
      <c r="ZZ8" t="str">
        <f t="shared" si="1"/>
        <v>|</v>
      </c>
    </row>
    <row r="9" spans="1:705" x14ac:dyDescent="0.25">
      <c r="J9" s="11"/>
      <c r="K9" s="11"/>
      <c r="ZZ9" t="str">
        <f t="shared" si="1"/>
        <v>|</v>
      </c>
    </row>
    <row r="10" spans="1:705" x14ac:dyDescent="0.25">
      <c r="J10" s="11"/>
      <c r="K10" s="11"/>
      <c r="ZZ10" t="str">
        <f t="shared" si="1"/>
        <v>|</v>
      </c>
    </row>
    <row r="11" spans="1:705" x14ac:dyDescent="0.25">
      <c r="J11" s="11"/>
      <c r="K11" s="11"/>
      <c r="ZZ11" t="str">
        <f t="shared" si="1"/>
        <v>|</v>
      </c>
    </row>
    <row r="12" spans="1:705" x14ac:dyDescent="0.25">
      <c r="J12" s="11"/>
      <c r="K12" s="11"/>
      <c r="ZZ12" t="str">
        <f t="shared" si="1"/>
        <v>|</v>
      </c>
    </row>
    <row r="13" spans="1:705" x14ac:dyDescent="0.25">
      <c r="J13" s="11"/>
      <c r="K13" s="11"/>
      <c r="ZZ13" t="str">
        <f t="shared" si="1"/>
        <v>|</v>
      </c>
    </row>
    <row r="14" spans="1:705" x14ac:dyDescent="0.25">
      <c r="J14" s="11"/>
      <c r="K14" s="11"/>
      <c r="ZZ14" t="str">
        <f t="shared" si="1"/>
        <v>|</v>
      </c>
    </row>
    <row r="15" spans="1:705" x14ac:dyDescent="0.25">
      <c r="ZZ15" t="str">
        <f t="shared" si="1"/>
        <v>|</v>
      </c>
    </row>
    <row r="16" spans="1:705" x14ac:dyDescent="0.25">
      <c r="K16" t="s">
        <v>345</v>
      </c>
      <c r="ZZ16" t="str">
        <f t="shared" si="1"/>
        <v>|</v>
      </c>
      <c r="AAC16" t="str">
        <f t="shared" si="0"/>
        <v>|</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81C8E2-56AC-3449-9CD7-600BD5171A09}">
  <dimension ref="A1:AAC142"/>
  <sheetViews>
    <sheetView zoomScale="70" zoomScaleNormal="70" workbookViewId="0">
      <pane ySplit="1" topLeftCell="A2" activePane="bottomLeft" state="frozen"/>
      <selection activeCell="M1" sqref="M1"/>
      <selection pane="bottomLeft" activeCell="D29" sqref="D29"/>
    </sheetView>
  </sheetViews>
  <sheetFormatPr defaultColWidth="11" defaultRowHeight="15.75" x14ac:dyDescent="0.25"/>
  <cols>
    <col min="1" max="1" width="3.5" bestFit="1" customWidth="1"/>
    <col min="2" max="2" width="18.625" customWidth="1"/>
    <col min="3" max="3" width="18" bestFit="1" customWidth="1"/>
    <col min="4" max="4" width="19.625" bestFit="1" customWidth="1"/>
    <col min="5" max="5" width="18.75" bestFit="1" customWidth="1"/>
    <col min="6" max="6" width="44.625" bestFit="1" customWidth="1"/>
    <col min="7" max="10" width="39.375" style="11" customWidth="1"/>
    <col min="11" max="11" width="15" bestFit="1" customWidth="1"/>
    <col min="12" max="13" width="15" customWidth="1"/>
    <col min="14" max="14" width="11.5" bestFit="1" customWidth="1"/>
    <col min="15" max="15" width="37.75" style="11" bestFit="1" customWidth="1"/>
    <col min="16" max="29" width="18" style="11" customWidth="1"/>
    <col min="704" max="704" width="14.375" bestFit="1" customWidth="1"/>
    <col min="705" max="705" width="31.5" bestFit="1" customWidth="1"/>
  </cols>
  <sheetData>
    <row r="1" spans="1:705" ht="24" customHeight="1" x14ac:dyDescent="0.25">
      <c r="A1" t="s">
        <v>319</v>
      </c>
      <c r="B1" t="s">
        <v>320</v>
      </c>
      <c r="C1" t="s">
        <v>167</v>
      </c>
      <c r="D1" t="s">
        <v>149</v>
      </c>
      <c r="E1" t="s">
        <v>6</v>
      </c>
      <c r="F1" t="s">
        <v>8</v>
      </c>
      <c r="G1" s="11" t="s">
        <v>5</v>
      </c>
      <c r="H1" s="11" t="s">
        <v>15</v>
      </c>
      <c r="I1" s="11" t="s">
        <v>328</v>
      </c>
      <c r="J1" s="11" t="s">
        <v>321</v>
      </c>
      <c r="K1" t="s">
        <v>323</v>
      </c>
      <c r="L1" t="s">
        <v>343</v>
      </c>
      <c r="M1" t="s">
        <v>344</v>
      </c>
      <c r="N1" t="s">
        <v>329</v>
      </c>
      <c r="O1" s="11" t="s">
        <v>322</v>
      </c>
      <c r="P1" s="11" t="s">
        <v>332</v>
      </c>
      <c r="Q1" s="11" t="s">
        <v>317</v>
      </c>
      <c r="R1" s="11" t="s">
        <v>22</v>
      </c>
      <c r="S1" s="11" t="s">
        <v>29</v>
      </c>
      <c r="T1" s="11" t="s">
        <v>333</v>
      </c>
      <c r="U1" s="11" t="s">
        <v>330</v>
      </c>
      <c r="V1" s="11" t="s">
        <v>43</v>
      </c>
      <c r="W1" s="11" t="s">
        <v>334</v>
      </c>
      <c r="X1" s="11" t="s">
        <v>50</v>
      </c>
      <c r="Y1" s="11" t="s">
        <v>57</v>
      </c>
      <c r="Z1" s="11" t="s">
        <v>64</v>
      </c>
      <c r="AA1" s="11" t="s">
        <v>71</v>
      </c>
      <c r="AB1" s="11" t="s">
        <v>85</v>
      </c>
      <c r="AC1" s="11" t="s">
        <v>92</v>
      </c>
      <c r="AD1" t="s">
        <v>331</v>
      </c>
      <c r="ZN1" t="s">
        <v>142</v>
      </c>
      <c r="ZO1" t="s">
        <v>190</v>
      </c>
      <c r="ZZ1" t="s">
        <v>142</v>
      </c>
      <c r="AAA1" t="s">
        <v>190</v>
      </c>
      <c r="AAB1" t="s">
        <v>142</v>
      </c>
      <c r="AAC1" t="s">
        <v>190</v>
      </c>
    </row>
    <row r="51" spans="30:30" x14ac:dyDescent="0.25">
      <c r="AD51" s="2"/>
    </row>
    <row r="59" spans="30:30" x14ac:dyDescent="0.25">
      <c r="AD59" s="2"/>
    </row>
    <row r="60" spans="30:30" x14ac:dyDescent="0.25">
      <c r="AD60" s="2"/>
    </row>
    <row r="63" spans="30:30" x14ac:dyDescent="0.25">
      <c r="AD63" s="2"/>
    </row>
    <row r="137" spans="16:704" x14ac:dyDescent="0.25">
      <c r="P137" s="11">
        <v>45725</v>
      </c>
      <c r="Q137" s="11">
        <v>45725</v>
      </c>
      <c r="R137" s="11">
        <v>45765</v>
      </c>
      <c r="S137" s="11" t="s">
        <v>117</v>
      </c>
      <c r="T137" s="11">
        <v>45770</v>
      </c>
      <c r="U137" s="11" t="s">
        <v>117</v>
      </c>
      <c r="V137" s="11" t="s">
        <v>117</v>
      </c>
      <c r="W137" s="11" t="s">
        <v>117</v>
      </c>
      <c r="X137" s="11" t="s">
        <v>117</v>
      </c>
      <c r="Y137" s="11" t="s">
        <v>117</v>
      </c>
      <c r="Z137" s="11" t="s">
        <v>117</v>
      </c>
      <c r="AA137" s="11" t="s">
        <v>117</v>
      </c>
      <c r="AB137" s="11" t="s">
        <v>117</v>
      </c>
      <c r="AC137" s="11" t="s">
        <v>117</v>
      </c>
      <c r="ZZ137" t="str">
        <f t="shared" ref="ZZ130:ZZ142" si="0">G137&amp; "|" &amp;E137</f>
        <v>|</v>
      </c>
      <c r="AAB137" t="str">
        <f t="shared" ref="AAB129:AAB142" si="1">G137&amp; "|" &amp;E137</f>
        <v>|</v>
      </c>
    </row>
    <row r="138" spans="16:704" x14ac:dyDescent="0.25">
      <c r="P138" s="11">
        <v>45733</v>
      </c>
      <c r="Q138" s="11" t="s">
        <v>117</v>
      </c>
      <c r="R138" s="11">
        <v>45768</v>
      </c>
      <c r="S138" s="11" t="s">
        <v>117</v>
      </c>
      <c r="T138" s="11" t="s">
        <v>117</v>
      </c>
      <c r="U138" s="11" t="s">
        <v>117</v>
      </c>
      <c r="V138" s="11" t="s">
        <v>117</v>
      </c>
      <c r="W138" s="11" t="s">
        <v>117</v>
      </c>
      <c r="X138" s="11" t="s">
        <v>117</v>
      </c>
      <c r="Y138" s="11" t="s">
        <v>117</v>
      </c>
      <c r="Z138" s="11" t="s">
        <v>117</v>
      </c>
      <c r="AA138" s="11" t="s">
        <v>117</v>
      </c>
      <c r="AB138" s="11" t="s">
        <v>117</v>
      </c>
      <c r="AC138" s="11" t="s">
        <v>117</v>
      </c>
      <c r="ZZ138" t="str">
        <f t="shared" si="0"/>
        <v>|</v>
      </c>
      <c r="AAB138" t="str">
        <f t="shared" si="1"/>
        <v>|</v>
      </c>
    </row>
    <row r="139" spans="16:704" x14ac:dyDescent="0.25">
      <c r="P139" s="11">
        <v>45731</v>
      </c>
      <c r="Q139" s="11" t="s">
        <v>117</v>
      </c>
      <c r="R139" s="11">
        <v>45768</v>
      </c>
      <c r="S139" s="11" t="s">
        <v>117</v>
      </c>
      <c r="T139" s="11" t="s">
        <v>117</v>
      </c>
      <c r="U139" s="11" t="s">
        <v>117</v>
      </c>
      <c r="V139" s="11" t="s">
        <v>117</v>
      </c>
      <c r="W139" s="11" t="s">
        <v>117</v>
      </c>
      <c r="X139" s="11" t="s">
        <v>117</v>
      </c>
      <c r="Y139" s="11" t="s">
        <v>117</v>
      </c>
      <c r="Z139" s="11" t="s">
        <v>117</v>
      </c>
      <c r="AA139" s="11" t="s">
        <v>117</v>
      </c>
      <c r="AB139" s="11" t="s">
        <v>117</v>
      </c>
      <c r="AC139" s="11" t="s">
        <v>117</v>
      </c>
      <c r="ZZ139" t="str">
        <f t="shared" si="0"/>
        <v>|</v>
      </c>
      <c r="AAB139" t="str">
        <f t="shared" si="1"/>
        <v>|</v>
      </c>
    </row>
    <row r="140" spans="16:704" x14ac:dyDescent="0.25">
      <c r="P140" s="11">
        <v>45731</v>
      </c>
      <c r="Q140" s="11" t="s">
        <v>117</v>
      </c>
      <c r="R140" s="11">
        <v>45768</v>
      </c>
      <c r="S140" s="11" t="s">
        <v>117</v>
      </c>
      <c r="T140" s="11" t="s">
        <v>117</v>
      </c>
      <c r="U140" s="11" t="s">
        <v>117</v>
      </c>
      <c r="V140" s="11" t="s">
        <v>117</v>
      </c>
      <c r="W140" s="11" t="s">
        <v>117</v>
      </c>
      <c r="X140" s="11" t="s">
        <v>117</v>
      </c>
      <c r="Y140" s="11" t="s">
        <v>117</v>
      </c>
      <c r="Z140" s="11" t="s">
        <v>117</v>
      </c>
      <c r="AA140" s="11" t="s">
        <v>117</v>
      </c>
      <c r="AB140" s="11" t="s">
        <v>117</v>
      </c>
      <c r="AC140" s="11" t="s">
        <v>117</v>
      </c>
      <c r="ZZ140" t="str">
        <f t="shared" si="0"/>
        <v>|</v>
      </c>
      <c r="AAB140" t="str">
        <f t="shared" si="1"/>
        <v>|</v>
      </c>
    </row>
    <row r="141" spans="16:704" x14ac:dyDescent="0.25">
      <c r="P141" s="11">
        <v>45735</v>
      </c>
      <c r="Q141" s="11" t="s">
        <v>117</v>
      </c>
      <c r="R141" s="11">
        <v>45769</v>
      </c>
      <c r="S141" s="11" t="s">
        <v>117</v>
      </c>
      <c r="T141" s="11">
        <v>45769</v>
      </c>
      <c r="U141" s="11" t="s">
        <v>117</v>
      </c>
      <c r="V141" s="11" t="s">
        <v>117</v>
      </c>
      <c r="W141" s="11" t="s">
        <v>117</v>
      </c>
      <c r="X141" s="11" t="s">
        <v>117</v>
      </c>
      <c r="Y141" s="11" t="s">
        <v>117</v>
      </c>
      <c r="Z141" s="11" t="s">
        <v>117</v>
      </c>
      <c r="AA141" s="11" t="s">
        <v>117</v>
      </c>
      <c r="AB141" s="11" t="s">
        <v>117</v>
      </c>
      <c r="AC141" s="11" t="s">
        <v>117</v>
      </c>
      <c r="ZZ141" t="str">
        <f t="shared" si="0"/>
        <v>|</v>
      </c>
      <c r="AAB141" t="str">
        <f t="shared" si="1"/>
        <v>|</v>
      </c>
    </row>
    <row r="142" spans="16:704" x14ac:dyDescent="0.25">
      <c r="P142" s="11">
        <v>45735</v>
      </c>
      <c r="Q142" s="11" t="s">
        <v>117</v>
      </c>
      <c r="R142" s="11">
        <v>45769</v>
      </c>
      <c r="S142" s="11" t="s">
        <v>117</v>
      </c>
      <c r="T142" s="11">
        <v>45769</v>
      </c>
      <c r="U142" s="11" t="s">
        <v>117</v>
      </c>
      <c r="V142" s="11" t="s">
        <v>117</v>
      </c>
      <c r="W142" s="11" t="s">
        <v>117</v>
      </c>
      <c r="X142" s="11" t="s">
        <v>117</v>
      </c>
      <c r="Y142" s="11" t="s">
        <v>117</v>
      </c>
      <c r="Z142" s="11" t="s">
        <v>117</v>
      </c>
      <c r="AA142" s="11" t="s">
        <v>117</v>
      </c>
      <c r="AB142" s="11" t="s">
        <v>117</v>
      </c>
      <c r="AC142" s="11" t="s">
        <v>117</v>
      </c>
      <c r="ZZ142" t="str">
        <f t="shared" si="0"/>
        <v>|</v>
      </c>
      <c r="AAB142" t="str">
        <f t="shared" si="1"/>
        <v>|</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4B599-51B2-914B-BED3-794D109E3142}">
  <sheetPr codeName="Sheet3"/>
  <dimension ref="A1:AAA73"/>
  <sheetViews>
    <sheetView zoomScaleNormal="100" workbookViewId="0">
      <pane ySplit="1" topLeftCell="A44" activePane="bottomLeft" state="frozen"/>
      <selection pane="bottomLeft" activeCell="A2" sqref="A2:XFD68"/>
    </sheetView>
  </sheetViews>
  <sheetFormatPr defaultColWidth="11" defaultRowHeight="15.75" x14ac:dyDescent="0.25"/>
  <cols>
    <col min="1" max="1" width="16.125" bestFit="1" customWidth="1"/>
    <col min="2" max="2" width="10.25" customWidth="1"/>
    <col min="3" max="3" width="20" bestFit="1" customWidth="1"/>
    <col min="4" max="4" width="20.875" bestFit="1" customWidth="1"/>
    <col min="5" max="5" width="18.875" bestFit="1" customWidth="1"/>
    <col min="6" max="6" width="9.875" bestFit="1" customWidth="1"/>
    <col min="7" max="7" width="12" bestFit="1" customWidth="1"/>
    <col min="8" max="8" width="18.875" bestFit="1" customWidth="1"/>
    <col min="9" max="9" width="22.125" bestFit="1" customWidth="1"/>
    <col min="10" max="10" width="16" bestFit="1" customWidth="1"/>
    <col min="11" max="11" width="20.5" bestFit="1" customWidth="1"/>
    <col min="12" max="12" width="17.125" bestFit="1" customWidth="1"/>
    <col min="13" max="13" width="43.625" bestFit="1" customWidth="1"/>
    <col min="14" max="14" width="25.375" style="11" bestFit="1" customWidth="1"/>
    <col min="15" max="15" width="20" style="11" bestFit="1" customWidth="1"/>
    <col min="16" max="16" width="13.375" bestFit="1" customWidth="1"/>
    <col min="17" max="17" width="23.5" style="11" bestFit="1" customWidth="1"/>
    <col min="18" max="18" width="25.125" style="11" bestFit="1" customWidth="1"/>
    <col min="19" max="19" width="11.125" style="11" bestFit="1" customWidth="1"/>
    <col min="20" max="20" width="13.375" bestFit="1" customWidth="1"/>
    <col min="21" max="21" width="20.5" style="11" bestFit="1" customWidth="1"/>
    <col min="22" max="22" width="18.875" style="11" bestFit="1" customWidth="1"/>
    <col min="23" max="23" width="34.875" style="11" bestFit="1" customWidth="1"/>
    <col min="24" max="24" width="15.5" style="11" bestFit="1" customWidth="1"/>
    <col min="25" max="25" width="14.625" style="11" bestFit="1" customWidth="1"/>
    <col min="26" max="26" width="19.375" style="11" bestFit="1" customWidth="1"/>
    <col min="27" max="27" width="20" style="11" bestFit="1" customWidth="1"/>
    <col min="28" max="28" width="9.625" style="11" bestFit="1" customWidth="1"/>
    <col min="31" max="35" width="10.875" bestFit="1" customWidth="1"/>
    <col min="702" max="702" width="14.375" bestFit="1" customWidth="1"/>
    <col min="703" max="703" width="31.5" bestFit="1" customWidth="1"/>
  </cols>
  <sheetData>
    <row r="1" spans="1:703" x14ac:dyDescent="0.25">
      <c r="A1" t="s">
        <v>168</v>
      </c>
      <c r="B1" t="s">
        <v>161</v>
      </c>
      <c r="C1" t="s">
        <v>6</v>
      </c>
      <c r="D1" t="s">
        <v>8</v>
      </c>
      <c r="E1" t="s">
        <v>5</v>
      </c>
      <c r="F1" t="s">
        <v>157</v>
      </c>
      <c r="G1" t="s">
        <v>167</v>
      </c>
      <c r="H1" t="s">
        <v>15</v>
      </c>
      <c r="I1" t="s">
        <v>169</v>
      </c>
      <c r="J1" t="s">
        <v>145</v>
      </c>
      <c r="K1" t="s">
        <v>171</v>
      </c>
      <c r="L1" t="s">
        <v>317</v>
      </c>
      <c r="M1" t="s">
        <v>146</v>
      </c>
      <c r="N1" s="11" t="s">
        <v>22</v>
      </c>
      <c r="O1" s="11" t="s">
        <v>29</v>
      </c>
      <c r="P1" t="s">
        <v>162</v>
      </c>
      <c r="Q1" s="11" t="s">
        <v>163</v>
      </c>
      <c r="R1" s="11" t="s">
        <v>335</v>
      </c>
      <c r="S1" s="11" t="s">
        <v>164</v>
      </c>
      <c r="T1" t="s">
        <v>170</v>
      </c>
      <c r="U1" s="11" t="s">
        <v>165</v>
      </c>
      <c r="V1" s="11" t="s">
        <v>57</v>
      </c>
      <c r="W1" s="11" t="s">
        <v>166</v>
      </c>
      <c r="X1" s="11" t="s">
        <v>172</v>
      </c>
      <c r="Y1" s="11" t="s">
        <v>50</v>
      </c>
      <c r="Z1" s="11" t="s">
        <v>92</v>
      </c>
      <c r="AA1" s="11" t="s">
        <v>173</v>
      </c>
      <c r="AB1" s="11" t="s">
        <v>174</v>
      </c>
      <c r="ZZ1" t="s">
        <v>142</v>
      </c>
      <c r="AAA1" t="s">
        <v>190</v>
      </c>
    </row>
    <row r="2" spans="1:703" x14ac:dyDescent="0.25">
      <c r="K2" s="11"/>
      <c r="L2" s="11"/>
    </row>
    <row r="3" spans="1:703" x14ac:dyDescent="0.25">
      <c r="K3" s="11"/>
      <c r="L3" s="11"/>
    </row>
    <row r="4" spans="1:703" x14ac:dyDescent="0.25">
      <c r="K4" s="11"/>
      <c r="L4" s="11"/>
    </row>
    <row r="5" spans="1:703" x14ac:dyDescent="0.25">
      <c r="B5" s="2"/>
      <c r="K5" s="11"/>
      <c r="L5" s="11"/>
    </row>
    <row r="6" spans="1:703" x14ac:dyDescent="0.25">
      <c r="K6" s="11"/>
      <c r="L6" s="11"/>
    </row>
    <row r="7" spans="1:703" x14ac:dyDescent="0.25">
      <c r="K7" s="11"/>
      <c r="L7" s="11"/>
    </row>
    <row r="8" spans="1:703" x14ac:dyDescent="0.25">
      <c r="K8" s="11"/>
      <c r="L8" s="11"/>
    </row>
    <row r="9" spans="1:703" x14ac:dyDescent="0.25">
      <c r="K9" s="11"/>
      <c r="L9" s="11"/>
    </row>
    <row r="10" spans="1:703" x14ac:dyDescent="0.25">
      <c r="B10" s="2"/>
      <c r="K10" s="11"/>
      <c r="L10" s="11"/>
    </row>
    <row r="11" spans="1:703" x14ac:dyDescent="0.25">
      <c r="K11" s="11"/>
      <c r="L11" s="11"/>
    </row>
    <row r="12" spans="1:703" x14ac:dyDescent="0.25">
      <c r="B12" s="2"/>
      <c r="K12" s="11"/>
      <c r="L12" s="11"/>
    </row>
    <row r="13" spans="1:703" x14ac:dyDescent="0.25">
      <c r="B13" s="2"/>
      <c r="K13" s="11"/>
      <c r="L13" s="11"/>
    </row>
    <row r="14" spans="1:703" x14ac:dyDescent="0.25">
      <c r="B14" s="2"/>
      <c r="K14" s="11"/>
      <c r="L14" s="11"/>
    </row>
    <row r="15" spans="1:703" x14ac:dyDescent="0.25">
      <c r="B15" s="2"/>
      <c r="K15" s="11"/>
      <c r="L15" s="11"/>
    </row>
    <row r="16" spans="1:703" x14ac:dyDescent="0.25">
      <c r="B16" s="2"/>
      <c r="K16" s="11"/>
      <c r="L16" s="11"/>
    </row>
    <row r="17" spans="2:12" x14ac:dyDescent="0.25">
      <c r="B17" s="2"/>
      <c r="K17" s="11"/>
      <c r="L17" s="11"/>
    </row>
    <row r="18" spans="2:12" x14ac:dyDescent="0.25">
      <c r="B18" s="2"/>
      <c r="K18" s="11"/>
      <c r="L18" s="11"/>
    </row>
    <row r="19" spans="2:12" x14ac:dyDescent="0.25">
      <c r="K19" s="11"/>
      <c r="L19" s="11"/>
    </row>
    <row r="20" spans="2:12" x14ac:dyDescent="0.25">
      <c r="K20" s="11"/>
      <c r="L20" s="11"/>
    </row>
    <row r="21" spans="2:12" x14ac:dyDescent="0.25">
      <c r="K21" s="11"/>
      <c r="L21" s="11"/>
    </row>
    <row r="22" spans="2:12" x14ac:dyDescent="0.25">
      <c r="K22" s="11"/>
      <c r="L22" s="11"/>
    </row>
    <row r="23" spans="2:12" x14ac:dyDescent="0.25">
      <c r="B23" s="2"/>
      <c r="K23" s="11"/>
      <c r="L23" s="11"/>
    </row>
    <row r="24" spans="2:12" x14ac:dyDescent="0.25">
      <c r="K24" s="11"/>
      <c r="L24" s="11"/>
    </row>
    <row r="25" spans="2:12" x14ac:dyDescent="0.25">
      <c r="K25" s="11"/>
      <c r="L25" s="11"/>
    </row>
    <row r="26" spans="2:12" x14ac:dyDescent="0.25">
      <c r="K26" s="11"/>
      <c r="L26" s="11"/>
    </row>
    <row r="27" spans="2:12" x14ac:dyDescent="0.25">
      <c r="B27" s="2"/>
      <c r="K27" s="11"/>
      <c r="L27" s="11"/>
    </row>
    <row r="28" spans="2:12" x14ac:dyDescent="0.25">
      <c r="K28" s="11"/>
      <c r="L28" s="11"/>
    </row>
    <row r="29" spans="2:12" x14ac:dyDescent="0.25">
      <c r="K29" s="11"/>
      <c r="L29" s="11"/>
    </row>
    <row r="30" spans="2:12" x14ac:dyDescent="0.25">
      <c r="K30" s="11"/>
      <c r="L30" s="11"/>
    </row>
    <row r="31" spans="2:12" x14ac:dyDescent="0.25">
      <c r="K31" s="11"/>
      <c r="L31" s="11"/>
    </row>
    <row r="32" spans="2:12" x14ac:dyDescent="0.25">
      <c r="K32" s="11"/>
      <c r="L32" s="11"/>
    </row>
    <row r="33" spans="2:12" x14ac:dyDescent="0.25">
      <c r="K33" s="11"/>
      <c r="L33" s="11"/>
    </row>
    <row r="34" spans="2:12" x14ac:dyDescent="0.25">
      <c r="K34" s="11"/>
      <c r="L34" s="11"/>
    </row>
    <row r="35" spans="2:12" x14ac:dyDescent="0.25">
      <c r="K35" s="11"/>
      <c r="L35" s="11"/>
    </row>
    <row r="36" spans="2:12" x14ac:dyDescent="0.25">
      <c r="B36" s="2"/>
      <c r="K36" s="11"/>
      <c r="L36" s="11"/>
    </row>
    <row r="37" spans="2:12" x14ac:dyDescent="0.25">
      <c r="B37" s="2"/>
      <c r="K37" s="11"/>
      <c r="L37" s="11"/>
    </row>
    <row r="38" spans="2:12" x14ac:dyDescent="0.25">
      <c r="B38" s="2"/>
      <c r="K38" s="11"/>
      <c r="L38" s="11"/>
    </row>
    <row r="39" spans="2:12" x14ac:dyDescent="0.25">
      <c r="B39" s="2"/>
      <c r="K39" s="11"/>
      <c r="L39" s="11"/>
    </row>
    <row r="40" spans="2:12" x14ac:dyDescent="0.25">
      <c r="B40" s="2"/>
      <c r="K40" s="11"/>
      <c r="L40" s="11"/>
    </row>
    <row r="41" spans="2:12" x14ac:dyDescent="0.25">
      <c r="B41" s="2"/>
      <c r="K41" s="11"/>
      <c r="L41" s="11"/>
    </row>
    <row r="42" spans="2:12" x14ac:dyDescent="0.25">
      <c r="B42" s="2"/>
      <c r="K42" s="11"/>
      <c r="L42" s="11"/>
    </row>
    <row r="43" spans="2:12" x14ac:dyDescent="0.25">
      <c r="B43" s="2"/>
      <c r="K43" s="11"/>
      <c r="L43" s="11"/>
    </row>
    <row r="44" spans="2:12" x14ac:dyDescent="0.25">
      <c r="B44" s="2"/>
      <c r="K44" s="11"/>
      <c r="L44" s="11"/>
    </row>
    <row r="45" spans="2:12" x14ac:dyDescent="0.25">
      <c r="B45" s="2"/>
      <c r="K45" s="11"/>
      <c r="L45" s="11"/>
    </row>
    <row r="46" spans="2:12" x14ac:dyDescent="0.25">
      <c r="B46" s="2"/>
      <c r="K46" s="11"/>
      <c r="L46" s="11"/>
    </row>
    <row r="47" spans="2:12" x14ac:dyDescent="0.25">
      <c r="B47" s="2"/>
      <c r="K47" s="11"/>
      <c r="L47" s="11"/>
    </row>
    <row r="48" spans="2:12" x14ac:dyDescent="0.25">
      <c r="B48" s="2"/>
      <c r="K48" s="11"/>
      <c r="L48" s="11"/>
    </row>
    <row r="49" spans="2:12" x14ac:dyDescent="0.25">
      <c r="B49" s="2"/>
      <c r="K49" s="11"/>
      <c r="L49" s="11"/>
    </row>
    <row r="50" spans="2:12" x14ac:dyDescent="0.25">
      <c r="B50" s="2"/>
      <c r="K50" s="11"/>
      <c r="L50" s="11"/>
    </row>
    <row r="51" spans="2:12" x14ac:dyDescent="0.25">
      <c r="B51" s="2"/>
      <c r="K51" s="11"/>
      <c r="L51" s="11"/>
    </row>
    <row r="52" spans="2:12" x14ac:dyDescent="0.25">
      <c r="B52" s="2"/>
      <c r="K52" s="11"/>
      <c r="L52" s="11"/>
    </row>
    <row r="53" spans="2:12" x14ac:dyDescent="0.25">
      <c r="B53" s="2"/>
      <c r="K53" s="11"/>
      <c r="L53" s="11"/>
    </row>
    <row r="54" spans="2:12" x14ac:dyDescent="0.25">
      <c r="B54" s="2"/>
      <c r="K54" s="11"/>
      <c r="L54" s="11"/>
    </row>
    <row r="55" spans="2:12" x14ac:dyDescent="0.25">
      <c r="B55" s="2"/>
      <c r="K55" s="11"/>
      <c r="L55" s="11"/>
    </row>
    <row r="56" spans="2:12" x14ac:dyDescent="0.25">
      <c r="B56" s="2"/>
      <c r="K56" s="11"/>
      <c r="L56" s="11"/>
    </row>
    <row r="57" spans="2:12" x14ac:dyDescent="0.25">
      <c r="B57" s="2"/>
      <c r="K57" s="11"/>
      <c r="L57" s="11"/>
    </row>
    <row r="58" spans="2:12" x14ac:dyDescent="0.25">
      <c r="B58" s="2"/>
      <c r="K58" s="11"/>
      <c r="L58" s="11"/>
    </row>
    <row r="59" spans="2:12" x14ac:dyDescent="0.25">
      <c r="B59" s="2"/>
      <c r="K59" s="11"/>
      <c r="L59" s="11"/>
    </row>
    <row r="60" spans="2:12" x14ac:dyDescent="0.25">
      <c r="K60" s="11"/>
      <c r="L60" s="11"/>
    </row>
    <row r="61" spans="2:12" x14ac:dyDescent="0.25">
      <c r="K61" s="11"/>
      <c r="L61" s="11"/>
    </row>
    <row r="62" spans="2:12" x14ac:dyDescent="0.25">
      <c r="K62" s="11"/>
      <c r="L62" s="11"/>
    </row>
    <row r="63" spans="2:12" x14ac:dyDescent="0.25">
      <c r="K63" s="11"/>
      <c r="L63" s="11"/>
    </row>
    <row r="64" spans="2:12" x14ac:dyDescent="0.25">
      <c r="K64" s="11"/>
      <c r="L64" s="11"/>
    </row>
    <row r="65" spans="11:12" x14ac:dyDescent="0.25">
      <c r="K65" s="11"/>
      <c r="L65" s="11"/>
    </row>
    <row r="66" spans="11:12" x14ac:dyDescent="0.25">
      <c r="K66" s="11"/>
      <c r="L66" s="11"/>
    </row>
    <row r="67" spans="11:12" x14ac:dyDescent="0.25">
      <c r="K67" s="11"/>
      <c r="L67" s="11"/>
    </row>
    <row r="68" spans="11:12" x14ac:dyDescent="0.25">
      <c r="K68" s="11"/>
      <c r="L68" s="11"/>
    </row>
    <row r="69" spans="11:12" x14ac:dyDescent="0.25">
      <c r="K69" s="11"/>
    </row>
    <row r="70" spans="11:12" x14ac:dyDescent="0.25">
      <c r="K70" s="11"/>
    </row>
    <row r="71" spans="11:12" x14ac:dyDescent="0.25">
      <c r="K71" s="11"/>
    </row>
    <row r="72" spans="11:12" x14ac:dyDescent="0.25">
      <c r="K72" s="11"/>
    </row>
    <row r="73" spans="11:12" x14ac:dyDescent="0.25">
      <c r="K73" s="11"/>
    </row>
  </sheetData>
  <autoFilter ref="A1:AB1" xr:uid="{38D4B599-51B2-914B-BED3-794D109E3142}"/>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2EE10-5329-4B16-B0E0-9F5FA37CC4DB}">
  <sheetPr codeName="Sheet4"/>
  <dimension ref="A1:AAB1"/>
  <sheetViews>
    <sheetView workbookViewId="0">
      <selection activeCell="A2" sqref="A2:XFD4"/>
    </sheetView>
  </sheetViews>
  <sheetFormatPr defaultColWidth="8.875" defaultRowHeight="15.75" x14ac:dyDescent="0.25"/>
  <cols>
    <col min="1" max="1" width="15.875" style="11" bestFit="1" customWidth="1"/>
    <col min="2" max="2" width="9.875" bestFit="1" customWidth="1"/>
    <col min="3" max="3" width="11.125" bestFit="1" customWidth="1"/>
    <col min="4" max="4" width="11.875" bestFit="1" customWidth="1"/>
    <col min="5" max="5" width="11.375" bestFit="1" customWidth="1"/>
    <col min="6" max="6" width="13.5" bestFit="1" customWidth="1"/>
    <col min="7" max="7" width="19.375" bestFit="1" customWidth="1"/>
    <col min="8" max="8" width="16" bestFit="1" customWidth="1"/>
    <col min="9" max="9" width="4.625" bestFit="1" customWidth="1"/>
    <col min="10" max="10" width="17" bestFit="1" customWidth="1"/>
    <col min="11" max="11" width="7.875" style="11" bestFit="1" customWidth="1"/>
    <col min="12" max="12" width="5.625" bestFit="1" customWidth="1"/>
    <col min="13" max="13" width="7.875" style="11" bestFit="1" customWidth="1"/>
    <col min="14" max="14" width="15.5" style="11" bestFit="1" customWidth="1"/>
    <col min="15" max="15" width="16.5" bestFit="1" customWidth="1"/>
    <col min="16" max="16" width="17" style="11" bestFit="1" customWidth="1"/>
    <col min="17" max="17" width="16.375" bestFit="1" customWidth="1"/>
    <col min="18" max="18" width="30.625" bestFit="1" customWidth="1"/>
    <col min="19" max="19" width="19.5" bestFit="1" customWidth="1"/>
    <col min="20" max="20" width="11.5" style="11" bestFit="1" customWidth="1"/>
    <col min="21" max="21" width="18" style="11" bestFit="1" customWidth="1"/>
    <col min="22" max="22" width="12.5" style="11" bestFit="1" customWidth="1"/>
    <col min="23" max="23" width="10.375" bestFit="1" customWidth="1"/>
    <col min="24" max="24" width="15.125" style="11" bestFit="1" customWidth="1"/>
    <col min="25" max="25" width="19.5" bestFit="1" customWidth="1"/>
    <col min="703" max="703" width="14.125" bestFit="1" customWidth="1"/>
  </cols>
  <sheetData>
    <row r="1" spans="1:704" x14ac:dyDescent="0.25">
      <c r="A1" s="11" t="s">
        <v>177</v>
      </c>
      <c r="B1" t="s">
        <v>178</v>
      </c>
      <c r="C1" t="s">
        <v>179</v>
      </c>
      <c r="D1" t="s">
        <v>3</v>
      </c>
      <c r="E1" t="s">
        <v>180</v>
      </c>
      <c r="F1" t="s">
        <v>5</v>
      </c>
      <c r="G1" t="s">
        <v>6</v>
      </c>
      <c r="H1" t="s">
        <v>8</v>
      </c>
      <c r="I1" t="s">
        <v>181</v>
      </c>
      <c r="J1" t="s">
        <v>15</v>
      </c>
      <c r="K1" s="11" t="s">
        <v>22</v>
      </c>
      <c r="L1" t="s">
        <v>182</v>
      </c>
      <c r="M1" s="11" t="s">
        <v>43</v>
      </c>
      <c r="N1" s="11" t="s">
        <v>50</v>
      </c>
      <c r="O1" t="s">
        <v>183</v>
      </c>
      <c r="P1" s="11" t="s">
        <v>57</v>
      </c>
      <c r="Q1" t="s">
        <v>184</v>
      </c>
      <c r="R1" t="s">
        <v>185</v>
      </c>
      <c r="S1" t="s">
        <v>186</v>
      </c>
      <c r="T1" s="11" t="s">
        <v>187</v>
      </c>
      <c r="U1" s="11" t="s">
        <v>64</v>
      </c>
      <c r="V1" s="11" t="s">
        <v>71</v>
      </c>
      <c r="W1" t="s">
        <v>188</v>
      </c>
      <c r="X1" s="11" t="s">
        <v>92</v>
      </c>
      <c r="Y1" t="s">
        <v>189</v>
      </c>
      <c r="ZZ1" t="s">
        <v>142</v>
      </c>
      <c r="AAA1" t="s">
        <v>190</v>
      </c>
      <c r="AAB1" t="s">
        <v>190</v>
      </c>
    </row>
  </sheetData>
  <autoFilter ref="A1:Y1" xr:uid="{3632EE10-5329-4B16-B0E0-9F5FA37CC4DB}"/>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6BE66-2D37-40E5-A44F-39A2810AE9FC}">
  <dimension ref="A1:AAA250"/>
  <sheetViews>
    <sheetView topLeftCell="AQ1" workbookViewId="0">
      <selection activeCell="AX19" sqref="AX19"/>
    </sheetView>
  </sheetViews>
  <sheetFormatPr defaultRowHeight="15.75" x14ac:dyDescent="0.25"/>
  <cols>
    <col min="1" max="1" width="9.875" bestFit="1" customWidth="1"/>
    <col min="2" max="2" width="18" bestFit="1" customWidth="1"/>
    <col min="3" max="3" width="13.25" bestFit="1" customWidth="1"/>
    <col min="4" max="4" width="18" bestFit="1" customWidth="1"/>
    <col min="5" max="5" width="16.5" bestFit="1" customWidth="1"/>
    <col min="6" max="6" width="14.25" bestFit="1" customWidth="1"/>
    <col min="7" max="7" width="23.125" bestFit="1" customWidth="1"/>
    <col min="8" max="9" width="19.125" bestFit="1" customWidth="1"/>
    <col min="10" max="10" width="20" bestFit="1" customWidth="1"/>
    <col min="11" max="11" width="15.75" bestFit="1" customWidth="1"/>
    <col min="12" max="12" width="11.875" bestFit="1" customWidth="1"/>
    <col min="13" max="13" width="20.625" bestFit="1" customWidth="1"/>
    <col min="14" max="14" width="38.875" bestFit="1" customWidth="1"/>
    <col min="16" max="16" width="17.625" bestFit="1" customWidth="1"/>
    <col min="24" max="24" width="24.5" bestFit="1" customWidth="1"/>
    <col min="26" max="27" width="17.75" style="11" bestFit="1" customWidth="1"/>
    <col min="28" max="28" width="16.5" style="11" bestFit="1" customWidth="1"/>
    <col min="29" max="30" width="22.25" style="11" bestFit="1" customWidth="1"/>
    <col min="31" max="31" width="27.875" style="11" bestFit="1" customWidth="1"/>
    <col min="32" max="32" width="23.125" style="11" bestFit="1" customWidth="1"/>
    <col min="33" max="33" width="23" style="11" bestFit="1" customWidth="1"/>
    <col min="34" max="34" width="16" style="11" bestFit="1" customWidth="1"/>
    <col min="35" max="35" width="13.125" style="11" bestFit="1" customWidth="1"/>
    <col min="36" max="36" width="17.875" style="11" bestFit="1" customWidth="1"/>
    <col min="37" max="37" width="17.75" style="11" bestFit="1" customWidth="1"/>
    <col min="38" max="38" width="17.875" style="11" bestFit="1" customWidth="1"/>
    <col min="39" max="39" width="17.75" style="11" bestFit="1" customWidth="1"/>
    <col min="40" max="40" width="16.625" style="11" bestFit="1" customWidth="1"/>
    <col min="41" max="41" width="14.25" bestFit="1" customWidth="1"/>
    <col min="42" max="42" width="24.875" bestFit="1" customWidth="1"/>
    <col min="43" max="43" width="11.625" bestFit="1" customWidth="1"/>
    <col min="44" max="44" width="17.375" bestFit="1" customWidth="1"/>
    <col min="45" max="45" width="13.875" bestFit="1" customWidth="1"/>
    <col min="48" max="48" width="19.5" bestFit="1" customWidth="1"/>
    <col min="49" max="49" width="16.25" bestFit="1" customWidth="1"/>
    <col min="50" max="50" width="14.625" bestFit="1" customWidth="1"/>
    <col min="53" max="53" width="16.25" customWidth="1"/>
  </cols>
  <sheetData>
    <row r="1" spans="1:703" x14ac:dyDescent="0.25">
      <c r="A1" t="s">
        <v>346</v>
      </c>
      <c r="B1" t="s">
        <v>347</v>
      </c>
      <c r="C1" t="s">
        <v>348</v>
      </c>
      <c r="D1" t="s">
        <v>349</v>
      </c>
      <c r="E1" t="s">
        <v>350</v>
      </c>
      <c r="F1" t="s">
        <v>351</v>
      </c>
      <c r="G1" t="s">
        <v>352</v>
      </c>
      <c r="H1" t="s">
        <v>8</v>
      </c>
      <c r="I1" t="s">
        <v>6</v>
      </c>
      <c r="J1" t="s">
        <v>5</v>
      </c>
      <c r="K1" t="s">
        <v>353</v>
      </c>
      <c r="L1" t="s">
        <v>149</v>
      </c>
      <c r="M1" t="s">
        <v>167</v>
      </c>
      <c r="N1" t="s">
        <v>157</v>
      </c>
      <c r="O1" t="s">
        <v>259</v>
      </c>
      <c r="P1" t="s">
        <v>354</v>
      </c>
      <c r="Q1" t="s">
        <v>355</v>
      </c>
      <c r="R1" t="s">
        <v>356</v>
      </c>
      <c r="S1" t="s">
        <v>146</v>
      </c>
      <c r="T1" t="s">
        <v>357</v>
      </c>
      <c r="U1" t="s">
        <v>358</v>
      </c>
      <c r="V1" t="s">
        <v>359</v>
      </c>
      <c r="W1" t="s">
        <v>360</v>
      </c>
      <c r="X1" t="s">
        <v>316</v>
      </c>
      <c r="Y1" t="s">
        <v>150</v>
      </c>
      <c r="Z1" s="11" t="s">
        <v>361</v>
      </c>
      <c r="AA1" s="11" t="s">
        <v>362</v>
      </c>
      <c r="AB1" s="11" t="s">
        <v>363</v>
      </c>
      <c r="AC1" s="11" t="s">
        <v>364</v>
      </c>
      <c r="AD1" s="11" t="s">
        <v>365</v>
      </c>
      <c r="AE1" s="11" t="s">
        <v>22</v>
      </c>
      <c r="AF1" s="11" t="s">
        <v>335</v>
      </c>
      <c r="AG1" s="11" t="s">
        <v>366</v>
      </c>
      <c r="AH1" s="11" t="s">
        <v>367</v>
      </c>
      <c r="AI1" s="11" t="s">
        <v>317</v>
      </c>
      <c r="AJ1" s="11" t="s">
        <v>368</v>
      </c>
      <c r="AK1" s="11" t="s">
        <v>369</v>
      </c>
      <c r="AL1" s="11" t="s">
        <v>370</v>
      </c>
      <c r="AM1" s="11" t="s">
        <v>371</v>
      </c>
      <c r="AN1" s="11" t="s">
        <v>372</v>
      </c>
      <c r="AO1" t="s">
        <v>29</v>
      </c>
      <c r="AP1" t="s">
        <v>373</v>
      </c>
      <c r="AQ1" t="s">
        <v>43</v>
      </c>
      <c r="AR1" t="s">
        <v>374</v>
      </c>
      <c r="AS1" t="s">
        <v>50</v>
      </c>
      <c r="AT1" t="s">
        <v>375</v>
      </c>
      <c r="AU1" t="s">
        <v>376</v>
      </c>
      <c r="AV1" t="s">
        <v>377</v>
      </c>
      <c r="AW1" t="s">
        <v>92</v>
      </c>
      <c r="AX1" t="s">
        <v>378</v>
      </c>
      <c r="BA1" t="s">
        <v>15</v>
      </c>
      <c r="BC1" s="25" t="str">
        <f>IF(COUNTA($A$251:$A$1048576)&gt;0,"** BluVoyix data extends past row 250 - extend column BA **","")</f>
        <v/>
      </c>
      <c r="ZZ1" t="s">
        <v>142</v>
      </c>
      <c r="AAA1" t="s">
        <v>190</v>
      </c>
    </row>
    <row r="2" spans="1:703" x14ac:dyDescent="0.25">
      <c r="E2" s="11"/>
      <c r="BA2" t="str">
        <f t="shared" ref="BA2:BA65" ca="1" si="0">IF(AND(TRIM($V2)="",TRIM($W2)="",TRIM($X2)=""),"",IF(AND(TRIM($V2)="",TRIM($W2)=""),$X2,IF(IFERROR(TODAY()&gt;=IF(ISNUMBER($AB2),INT($AB2),DATEVALUE(""&amp;$AB2)),FALSE),$X2,IF(AND(TRIM($W2)&lt;&gt;"",IFERROR(TODAY()&gt;=IF(ISNUMBER($AA2),INT($AA2),DATEVALUE(""&amp;$AA2)),FALSE)),$W2,IF(TRIM($V2)&lt;&gt;"",$V2,IF(TRIM($W2)&lt;&gt;"",$W2,$X2))))))</f>
        <v/>
      </c>
      <c r="ZZ2" t="str">
        <f t="shared" ref="ZZ2:ZZ33" si="1">J2&amp; "|" &amp;I2</f>
        <v>|</v>
      </c>
    </row>
    <row r="3" spans="1:703" x14ac:dyDescent="0.25">
      <c r="E3" s="11"/>
      <c r="BA3" t="str">
        <f t="shared" ca="1" si="0"/>
        <v/>
      </c>
      <c r="ZZ3" t="str">
        <f t="shared" si="1"/>
        <v>|</v>
      </c>
    </row>
    <row r="4" spans="1:703" x14ac:dyDescent="0.25">
      <c r="E4" s="11"/>
      <c r="AO4" s="11"/>
      <c r="AP4" s="11"/>
      <c r="BA4" t="str">
        <f t="shared" ca="1" si="0"/>
        <v/>
      </c>
      <c r="ZZ4" t="str">
        <f t="shared" si="1"/>
        <v>|</v>
      </c>
    </row>
    <row r="5" spans="1:703" x14ac:dyDescent="0.25">
      <c r="E5" s="11"/>
      <c r="BA5" t="str">
        <f t="shared" ca="1" si="0"/>
        <v/>
      </c>
      <c r="ZZ5" t="str">
        <f t="shared" si="1"/>
        <v>|</v>
      </c>
    </row>
    <row r="6" spans="1:703" x14ac:dyDescent="0.25">
      <c r="E6" s="11"/>
      <c r="AO6" s="11"/>
      <c r="AP6" s="11"/>
      <c r="AS6" s="11"/>
      <c r="AV6" s="11"/>
      <c r="AW6" s="11"/>
      <c r="BA6" t="str">
        <f t="shared" ca="1" si="0"/>
        <v/>
      </c>
      <c r="ZZ6" t="str">
        <f t="shared" si="1"/>
        <v>|</v>
      </c>
    </row>
    <row r="7" spans="1:703" x14ac:dyDescent="0.25">
      <c r="E7" s="11"/>
      <c r="BA7" t="str">
        <f t="shared" ca="1" si="0"/>
        <v/>
      </c>
      <c r="ZZ7" t="str">
        <f t="shared" si="1"/>
        <v>|</v>
      </c>
    </row>
    <row r="8" spans="1:703" x14ac:dyDescent="0.25">
      <c r="E8" s="11"/>
      <c r="BA8" t="str">
        <f t="shared" ca="1" si="0"/>
        <v/>
      </c>
      <c r="ZZ8" t="str">
        <f t="shared" si="1"/>
        <v>|</v>
      </c>
    </row>
    <row r="9" spans="1:703" x14ac:dyDescent="0.25">
      <c r="E9" s="11"/>
      <c r="AO9" s="11"/>
      <c r="AP9" s="11"/>
      <c r="BA9" t="str">
        <f t="shared" ca="1" si="0"/>
        <v/>
      </c>
      <c r="ZZ9" t="str">
        <f t="shared" si="1"/>
        <v>|</v>
      </c>
    </row>
    <row r="10" spans="1:703" x14ac:dyDescent="0.25">
      <c r="E10" s="11"/>
      <c r="BA10" t="str">
        <f t="shared" ca="1" si="0"/>
        <v/>
      </c>
      <c r="ZZ10" t="str">
        <f t="shared" si="1"/>
        <v>|</v>
      </c>
    </row>
    <row r="11" spans="1:703" x14ac:dyDescent="0.25">
      <c r="E11" s="11"/>
      <c r="BA11" t="str">
        <f t="shared" ca="1" si="0"/>
        <v/>
      </c>
      <c r="ZZ11" t="str">
        <f t="shared" si="1"/>
        <v>|</v>
      </c>
    </row>
    <row r="12" spans="1:703" x14ac:dyDescent="0.25">
      <c r="E12" s="11"/>
      <c r="AO12" s="11"/>
      <c r="AP12" s="11"/>
      <c r="AS12" s="11"/>
      <c r="BA12" t="str">
        <f t="shared" ca="1" si="0"/>
        <v/>
      </c>
      <c r="ZZ12" t="str">
        <f t="shared" si="1"/>
        <v>|</v>
      </c>
    </row>
    <row r="13" spans="1:703" x14ac:dyDescent="0.25">
      <c r="E13" s="11"/>
      <c r="BA13" t="str">
        <f t="shared" ca="1" si="0"/>
        <v/>
      </c>
      <c r="ZZ13" t="str">
        <f t="shared" si="1"/>
        <v>|</v>
      </c>
    </row>
    <row r="14" spans="1:703" x14ac:dyDescent="0.25">
      <c r="E14" s="11"/>
      <c r="AO14" s="11"/>
      <c r="AP14" s="11"/>
      <c r="AS14" s="11"/>
      <c r="AV14" s="11"/>
      <c r="AW14" s="11"/>
      <c r="BA14" t="str">
        <f t="shared" ca="1" si="0"/>
        <v/>
      </c>
      <c r="ZZ14" t="str">
        <f t="shared" si="1"/>
        <v>|</v>
      </c>
    </row>
    <row r="15" spans="1:703" x14ac:dyDescent="0.25">
      <c r="E15" s="11"/>
      <c r="AO15" s="11"/>
      <c r="AP15" s="11"/>
      <c r="AS15" s="11"/>
      <c r="AV15" s="11"/>
      <c r="AW15" s="11"/>
      <c r="BA15" t="str">
        <f t="shared" ca="1" si="0"/>
        <v/>
      </c>
      <c r="ZZ15" t="str">
        <f t="shared" si="1"/>
        <v>|</v>
      </c>
    </row>
    <row r="16" spans="1:703" x14ac:dyDescent="0.25">
      <c r="E16" s="11"/>
      <c r="AO16" s="11"/>
      <c r="AP16" s="11"/>
      <c r="AS16" s="11"/>
      <c r="AV16" s="11"/>
      <c r="AW16" s="11"/>
      <c r="BA16" t="str">
        <f t="shared" ca="1" si="0"/>
        <v/>
      </c>
      <c r="ZZ16" t="str">
        <f t="shared" si="1"/>
        <v>|</v>
      </c>
    </row>
    <row r="17" spans="5:702" x14ac:dyDescent="0.25">
      <c r="E17" s="11"/>
      <c r="AO17" s="11"/>
      <c r="AP17" s="11"/>
      <c r="AS17" s="11"/>
      <c r="AV17" s="11"/>
      <c r="AW17" s="11"/>
      <c r="BA17" t="str">
        <f t="shared" ca="1" si="0"/>
        <v/>
      </c>
      <c r="ZZ17" t="str">
        <f t="shared" si="1"/>
        <v>|</v>
      </c>
    </row>
    <row r="18" spans="5:702" x14ac:dyDescent="0.25">
      <c r="E18" s="11"/>
      <c r="AO18" s="11"/>
      <c r="AP18" s="11"/>
      <c r="AS18" s="11"/>
      <c r="AW18" s="11"/>
      <c r="BA18" t="str">
        <f t="shared" ca="1" si="0"/>
        <v/>
      </c>
      <c r="ZZ18" t="str">
        <f t="shared" si="1"/>
        <v>|</v>
      </c>
    </row>
    <row r="19" spans="5:702" x14ac:dyDescent="0.25">
      <c r="E19" s="11"/>
      <c r="AO19" s="11"/>
      <c r="AP19" s="11"/>
      <c r="AS19" s="11"/>
      <c r="AW19" s="11"/>
      <c r="BA19" t="str">
        <f t="shared" ca="1" si="0"/>
        <v/>
      </c>
      <c r="ZZ19" t="str">
        <f t="shared" si="1"/>
        <v>|</v>
      </c>
    </row>
    <row r="20" spans="5:702" x14ac:dyDescent="0.25">
      <c r="E20" s="11"/>
      <c r="AO20" s="11"/>
      <c r="AP20" s="11"/>
      <c r="AS20" s="11"/>
      <c r="AV20" s="11"/>
      <c r="AW20" s="11"/>
      <c r="BA20" t="str">
        <f t="shared" ca="1" si="0"/>
        <v/>
      </c>
      <c r="ZZ20" t="str">
        <f t="shared" si="1"/>
        <v>|</v>
      </c>
    </row>
    <row r="21" spans="5:702" x14ac:dyDescent="0.25">
      <c r="E21" s="11"/>
      <c r="AO21" s="11"/>
      <c r="AP21" s="11"/>
      <c r="AS21" s="11"/>
      <c r="AV21" s="11"/>
      <c r="AW21" s="11"/>
      <c r="BA21" t="str">
        <f t="shared" ca="1" si="0"/>
        <v/>
      </c>
      <c r="ZZ21" t="str">
        <f t="shared" si="1"/>
        <v>|</v>
      </c>
    </row>
    <row r="22" spans="5:702" x14ac:dyDescent="0.25">
      <c r="E22" s="11"/>
      <c r="AO22" s="11"/>
      <c r="AP22" s="11"/>
      <c r="AS22" s="11"/>
      <c r="AW22" s="11"/>
      <c r="BA22" t="str">
        <f t="shared" ca="1" si="0"/>
        <v/>
      </c>
      <c r="ZZ22" t="str">
        <f t="shared" si="1"/>
        <v>|</v>
      </c>
    </row>
    <row r="23" spans="5:702" x14ac:dyDescent="0.25">
      <c r="E23" s="11"/>
      <c r="BA23" t="str">
        <f t="shared" ca="1" si="0"/>
        <v/>
      </c>
      <c r="ZZ23" t="str">
        <f t="shared" si="1"/>
        <v>|</v>
      </c>
    </row>
    <row r="24" spans="5:702" x14ac:dyDescent="0.25">
      <c r="E24" s="11"/>
      <c r="BA24" t="str">
        <f t="shared" ca="1" si="0"/>
        <v/>
      </c>
      <c r="ZZ24" t="str">
        <f t="shared" si="1"/>
        <v>|</v>
      </c>
    </row>
    <row r="25" spans="5:702" x14ac:dyDescent="0.25">
      <c r="E25" s="11"/>
      <c r="BA25" t="str">
        <f t="shared" ca="1" si="0"/>
        <v/>
      </c>
      <c r="ZZ25" t="str">
        <f t="shared" si="1"/>
        <v>|</v>
      </c>
    </row>
    <row r="26" spans="5:702" x14ac:dyDescent="0.25">
      <c r="E26" s="11"/>
      <c r="BA26" t="str">
        <f t="shared" ca="1" si="0"/>
        <v/>
      </c>
      <c r="ZZ26" t="str">
        <f t="shared" si="1"/>
        <v>|</v>
      </c>
    </row>
    <row r="27" spans="5:702" x14ac:dyDescent="0.25">
      <c r="E27" s="11"/>
      <c r="BA27" t="str">
        <f t="shared" ca="1" si="0"/>
        <v/>
      </c>
      <c r="ZZ27" t="str">
        <f t="shared" si="1"/>
        <v>|</v>
      </c>
    </row>
    <row r="28" spans="5:702" x14ac:dyDescent="0.25">
      <c r="E28" s="11"/>
      <c r="BA28" t="str">
        <f t="shared" ca="1" si="0"/>
        <v/>
      </c>
      <c r="ZZ28" t="str">
        <f t="shared" si="1"/>
        <v>|</v>
      </c>
    </row>
    <row r="29" spans="5:702" x14ac:dyDescent="0.25">
      <c r="E29" s="11"/>
      <c r="BA29" t="str">
        <f t="shared" ca="1" si="0"/>
        <v/>
      </c>
      <c r="ZZ29" t="str">
        <f t="shared" si="1"/>
        <v>|</v>
      </c>
    </row>
    <row r="30" spans="5:702" x14ac:dyDescent="0.25">
      <c r="E30" s="11"/>
      <c r="BA30" t="str">
        <f t="shared" ca="1" si="0"/>
        <v/>
      </c>
      <c r="ZZ30" t="str">
        <f t="shared" si="1"/>
        <v>|</v>
      </c>
    </row>
    <row r="31" spans="5:702" x14ac:dyDescent="0.25">
      <c r="E31" s="11"/>
      <c r="BA31" t="str">
        <f t="shared" ca="1" si="0"/>
        <v/>
      </c>
      <c r="ZZ31" t="str">
        <f t="shared" si="1"/>
        <v>|</v>
      </c>
    </row>
    <row r="32" spans="5:702" x14ac:dyDescent="0.25">
      <c r="E32" s="11"/>
      <c r="BA32" t="str">
        <f t="shared" ca="1" si="0"/>
        <v/>
      </c>
      <c r="ZZ32" t="str">
        <f t="shared" si="1"/>
        <v>|</v>
      </c>
    </row>
    <row r="33" spans="5:702" x14ac:dyDescent="0.25">
      <c r="E33" s="11"/>
      <c r="BA33" t="str">
        <f t="shared" ca="1" si="0"/>
        <v/>
      </c>
      <c r="ZZ33" t="str">
        <f t="shared" si="1"/>
        <v>|</v>
      </c>
    </row>
    <row r="34" spans="5:702" x14ac:dyDescent="0.25">
      <c r="E34" s="11"/>
      <c r="BA34" t="str">
        <f t="shared" ca="1" si="0"/>
        <v/>
      </c>
      <c r="ZZ34" t="str">
        <f t="shared" ref="ZZ34:ZZ60" si="2">J34&amp; "|" &amp;I34</f>
        <v>|</v>
      </c>
    </row>
    <row r="35" spans="5:702" x14ac:dyDescent="0.25">
      <c r="E35" s="11"/>
      <c r="AO35" s="11"/>
      <c r="AP35" s="11"/>
      <c r="BA35" t="str">
        <f t="shared" ca="1" si="0"/>
        <v/>
      </c>
      <c r="ZZ35" t="str">
        <f t="shared" si="2"/>
        <v>|</v>
      </c>
    </row>
    <row r="36" spans="5:702" x14ac:dyDescent="0.25">
      <c r="E36" s="11"/>
      <c r="AO36" s="11"/>
      <c r="AP36" s="11"/>
      <c r="BA36" t="str">
        <f t="shared" ca="1" si="0"/>
        <v/>
      </c>
      <c r="ZZ36" t="str">
        <f t="shared" si="2"/>
        <v>|</v>
      </c>
    </row>
    <row r="37" spans="5:702" x14ac:dyDescent="0.25">
      <c r="E37" s="11"/>
      <c r="BA37" t="str">
        <f t="shared" ca="1" si="0"/>
        <v/>
      </c>
      <c r="ZZ37" t="str">
        <f t="shared" si="2"/>
        <v>|</v>
      </c>
    </row>
    <row r="38" spans="5:702" x14ac:dyDescent="0.25">
      <c r="E38" s="11"/>
      <c r="BA38" t="str">
        <f t="shared" ca="1" si="0"/>
        <v/>
      </c>
      <c r="ZZ38" t="str">
        <f t="shared" si="2"/>
        <v>|</v>
      </c>
    </row>
    <row r="39" spans="5:702" x14ac:dyDescent="0.25">
      <c r="E39" s="11"/>
      <c r="BA39" t="str">
        <f t="shared" ca="1" si="0"/>
        <v/>
      </c>
      <c r="ZZ39" t="str">
        <f t="shared" si="2"/>
        <v>|</v>
      </c>
    </row>
    <row r="40" spans="5:702" x14ac:dyDescent="0.25">
      <c r="E40" s="11"/>
      <c r="BA40" t="str">
        <f t="shared" ca="1" si="0"/>
        <v/>
      </c>
      <c r="ZZ40" t="str">
        <f t="shared" si="2"/>
        <v>|</v>
      </c>
    </row>
    <row r="41" spans="5:702" x14ac:dyDescent="0.25">
      <c r="E41" s="11"/>
      <c r="BA41" t="str">
        <f t="shared" ca="1" si="0"/>
        <v/>
      </c>
      <c r="ZZ41" t="str">
        <f t="shared" si="2"/>
        <v>|</v>
      </c>
    </row>
    <row r="42" spans="5:702" x14ac:dyDescent="0.25">
      <c r="E42" s="11"/>
      <c r="BA42" t="str">
        <f t="shared" ca="1" si="0"/>
        <v/>
      </c>
      <c r="ZZ42" t="str">
        <f t="shared" si="2"/>
        <v>|</v>
      </c>
    </row>
    <row r="43" spans="5:702" x14ac:dyDescent="0.25">
      <c r="E43" s="11"/>
      <c r="AO43" s="11"/>
      <c r="AP43" s="11"/>
      <c r="AS43" s="11"/>
      <c r="AW43" s="11"/>
      <c r="BA43" t="str">
        <f t="shared" ca="1" si="0"/>
        <v/>
      </c>
      <c r="ZZ43" t="str">
        <f t="shared" si="2"/>
        <v>|</v>
      </c>
    </row>
    <row r="44" spans="5:702" x14ac:dyDescent="0.25">
      <c r="E44" s="11"/>
      <c r="AO44" s="11"/>
      <c r="AP44" s="11"/>
      <c r="AS44" s="11"/>
      <c r="AW44" s="11"/>
      <c r="BA44" t="str">
        <f t="shared" ca="1" si="0"/>
        <v/>
      </c>
      <c r="ZZ44" t="str">
        <f t="shared" si="2"/>
        <v>|</v>
      </c>
    </row>
    <row r="45" spans="5:702" x14ac:dyDescent="0.25">
      <c r="E45" s="11"/>
      <c r="AO45" s="11"/>
      <c r="AP45" s="11"/>
      <c r="BA45" t="str">
        <f t="shared" ca="1" si="0"/>
        <v/>
      </c>
      <c r="ZZ45" t="str">
        <f t="shared" si="2"/>
        <v>|</v>
      </c>
    </row>
    <row r="46" spans="5:702" x14ac:dyDescent="0.25">
      <c r="E46" s="11"/>
      <c r="AO46" s="11"/>
      <c r="AP46" s="11"/>
      <c r="AS46" s="11"/>
      <c r="AW46" s="11"/>
      <c r="BA46" t="str">
        <f t="shared" ca="1" si="0"/>
        <v/>
      </c>
      <c r="ZZ46" t="str">
        <f t="shared" si="2"/>
        <v>|</v>
      </c>
    </row>
    <row r="47" spans="5:702" x14ac:dyDescent="0.25">
      <c r="E47" s="11"/>
      <c r="AO47" s="11"/>
      <c r="AP47" s="11"/>
      <c r="AS47" s="11"/>
      <c r="AW47" s="11"/>
      <c r="BA47" t="str">
        <f t="shared" ca="1" si="0"/>
        <v/>
      </c>
      <c r="ZZ47" t="str">
        <f t="shared" si="2"/>
        <v>|</v>
      </c>
    </row>
    <row r="48" spans="5:702" x14ac:dyDescent="0.25">
      <c r="E48" s="11"/>
      <c r="AO48" s="11"/>
      <c r="AP48" s="11"/>
      <c r="AS48" s="11"/>
      <c r="AW48" s="11"/>
      <c r="BA48" t="str">
        <f t="shared" ca="1" si="0"/>
        <v/>
      </c>
      <c r="ZZ48" t="str">
        <f t="shared" si="2"/>
        <v>|</v>
      </c>
    </row>
    <row r="49" spans="5:702" x14ac:dyDescent="0.25">
      <c r="E49" s="11"/>
      <c r="BA49" t="str">
        <f t="shared" ca="1" si="0"/>
        <v/>
      </c>
      <c r="ZZ49" t="str">
        <f t="shared" si="2"/>
        <v>|</v>
      </c>
    </row>
    <row r="50" spans="5:702" x14ac:dyDescent="0.25">
      <c r="E50" s="11"/>
      <c r="BA50" t="str">
        <f t="shared" ca="1" si="0"/>
        <v/>
      </c>
      <c r="ZZ50" t="str">
        <f t="shared" si="2"/>
        <v>|</v>
      </c>
    </row>
    <row r="51" spans="5:702" x14ac:dyDescent="0.25">
      <c r="E51" s="11"/>
      <c r="BA51" t="str">
        <f t="shared" ca="1" si="0"/>
        <v/>
      </c>
      <c r="ZZ51" t="str">
        <f t="shared" si="2"/>
        <v>|</v>
      </c>
    </row>
    <row r="52" spans="5:702" x14ac:dyDescent="0.25">
      <c r="E52" s="11"/>
      <c r="BA52" t="str">
        <f t="shared" ca="1" si="0"/>
        <v/>
      </c>
      <c r="ZZ52" t="str">
        <f t="shared" si="2"/>
        <v>|</v>
      </c>
    </row>
    <row r="53" spans="5:702" x14ac:dyDescent="0.25">
      <c r="E53" s="11"/>
      <c r="BA53" t="str">
        <f t="shared" ca="1" si="0"/>
        <v/>
      </c>
      <c r="ZZ53" t="str">
        <f t="shared" si="2"/>
        <v>|</v>
      </c>
    </row>
    <row r="54" spans="5:702" x14ac:dyDescent="0.25">
      <c r="E54" s="11"/>
      <c r="BA54" t="str">
        <f t="shared" ca="1" si="0"/>
        <v/>
      </c>
      <c r="ZZ54" t="str">
        <f t="shared" si="2"/>
        <v>|</v>
      </c>
    </row>
    <row r="55" spans="5:702" x14ac:dyDescent="0.25">
      <c r="E55" s="11"/>
      <c r="BA55" t="str">
        <f t="shared" ca="1" si="0"/>
        <v/>
      </c>
      <c r="ZZ55" t="str">
        <f t="shared" si="2"/>
        <v>|</v>
      </c>
    </row>
    <row r="56" spans="5:702" x14ac:dyDescent="0.25">
      <c r="E56" s="11"/>
      <c r="AO56" s="11"/>
      <c r="AP56" s="11"/>
      <c r="AS56" s="11"/>
      <c r="BA56" t="str">
        <f t="shared" ca="1" si="0"/>
        <v/>
      </c>
      <c r="ZZ56" t="str">
        <f t="shared" si="2"/>
        <v>|</v>
      </c>
    </row>
    <row r="57" spans="5:702" x14ac:dyDescent="0.25">
      <c r="E57" s="11"/>
      <c r="AO57" s="11"/>
      <c r="AP57" s="11"/>
      <c r="AS57" s="11"/>
      <c r="AW57" s="11"/>
      <c r="BA57" t="str">
        <f t="shared" ca="1" si="0"/>
        <v/>
      </c>
      <c r="ZZ57" t="str">
        <f t="shared" si="2"/>
        <v>|</v>
      </c>
    </row>
    <row r="58" spans="5:702" x14ac:dyDescent="0.25">
      <c r="E58" s="11"/>
      <c r="AO58" s="11"/>
      <c r="AP58" s="11"/>
      <c r="AS58" s="11"/>
      <c r="BA58" t="str">
        <f t="shared" ca="1" si="0"/>
        <v/>
      </c>
      <c r="ZZ58" t="str">
        <f t="shared" si="2"/>
        <v>|</v>
      </c>
    </row>
    <row r="59" spans="5:702" x14ac:dyDescent="0.25">
      <c r="E59" s="11"/>
      <c r="AO59" s="11"/>
      <c r="AP59" s="11"/>
      <c r="AW59" s="11"/>
      <c r="BA59" t="str">
        <f t="shared" ca="1" si="0"/>
        <v/>
      </c>
      <c r="ZZ59" t="str">
        <f t="shared" si="2"/>
        <v>|</v>
      </c>
    </row>
    <row r="60" spans="5:702" x14ac:dyDescent="0.25">
      <c r="E60" s="11"/>
      <c r="AO60" s="11"/>
      <c r="AP60" s="11"/>
      <c r="AS60" s="11"/>
      <c r="AW60" s="11"/>
      <c r="BA60" t="str">
        <f t="shared" ca="1" si="0"/>
        <v/>
      </c>
      <c r="ZZ60" t="str">
        <f t="shared" si="2"/>
        <v>|</v>
      </c>
    </row>
    <row r="61" spans="5:702" x14ac:dyDescent="0.25">
      <c r="BA61" t="str">
        <f t="shared" ca="1" si="0"/>
        <v/>
      </c>
    </row>
    <row r="62" spans="5:702" x14ac:dyDescent="0.25">
      <c r="BA62" t="str">
        <f t="shared" ca="1" si="0"/>
        <v/>
      </c>
    </row>
    <row r="63" spans="5:702" x14ac:dyDescent="0.25">
      <c r="BA63" t="str">
        <f t="shared" ca="1" si="0"/>
        <v/>
      </c>
    </row>
    <row r="64" spans="5:702" x14ac:dyDescent="0.25">
      <c r="BA64" t="str">
        <f t="shared" ca="1" si="0"/>
        <v/>
      </c>
    </row>
    <row r="65" spans="53:53" x14ac:dyDescent="0.25">
      <c r="BA65" t="str">
        <f t="shared" ca="1" si="0"/>
        <v/>
      </c>
    </row>
    <row r="66" spans="53:53" x14ac:dyDescent="0.25">
      <c r="BA66" t="str">
        <f t="shared" ref="BA66:BA129" ca="1" si="3">IF(AND(TRIM($V66)="",TRIM($W66)="",TRIM($X66)=""),"",IF(AND(TRIM($V66)="",TRIM($W66)=""),$X66,IF(IFERROR(TODAY()&gt;=IF(ISNUMBER($AB66),INT($AB66),DATEVALUE(""&amp;$AB66)),FALSE),$X66,IF(AND(TRIM($W66)&lt;&gt;"",IFERROR(TODAY()&gt;=IF(ISNUMBER($AA66),INT($AA66),DATEVALUE(""&amp;$AA66)),FALSE)),$W66,IF(TRIM($V66)&lt;&gt;"",$V66,IF(TRIM($W66)&lt;&gt;"",$W66,$X66))))))</f>
        <v/>
      </c>
    </row>
    <row r="67" spans="53:53" x14ac:dyDescent="0.25">
      <c r="BA67" t="str">
        <f t="shared" ca="1" si="3"/>
        <v/>
      </c>
    </row>
    <row r="68" spans="53:53" x14ac:dyDescent="0.25">
      <c r="BA68" t="str">
        <f t="shared" ca="1" si="3"/>
        <v/>
      </c>
    </row>
    <row r="69" spans="53:53" x14ac:dyDescent="0.25">
      <c r="BA69" t="str">
        <f t="shared" ca="1" si="3"/>
        <v/>
      </c>
    </row>
    <row r="70" spans="53:53" x14ac:dyDescent="0.25">
      <c r="BA70" t="str">
        <f t="shared" ca="1" si="3"/>
        <v/>
      </c>
    </row>
    <row r="71" spans="53:53" x14ac:dyDescent="0.25">
      <c r="BA71" t="str">
        <f t="shared" ca="1" si="3"/>
        <v/>
      </c>
    </row>
    <row r="72" spans="53:53" x14ac:dyDescent="0.25">
      <c r="BA72" t="str">
        <f t="shared" ca="1" si="3"/>
        <v/>
      </c>
    </row>
    <row r="73" spans="53:53" x14ac:dyDescent="0.25">
      <c r="BA73" t="str">
        <f t="shared" ca="1" si="3"/>
        <v/>
      </c>
    </row>
    <row r="74" spans="53:53" x14ac:dyDescent="0.25">
      <c r="BA74" t="str">
        <f t="shared" ca="1" si="3"/>
        <v/>
      </c>
    </row>
    <row r="75" spans="53:53" x14ac:dyDescent="0.25">
      <c r="BA75" t="str">
        <f t="shared" ca="1" si="3"/>
        <v/>
      </c>
    </row>
    <row r="76" spans="53:53" x14ac:dyDescent="0.25">
      <c r="BA76" t="str">
        <f t="shared" ca="1" si="3"/>
        <v/>
      </c>
    </row>
    <row r="77" spans="53:53" x14ac:dyDescent="0.25">
      <c r="BA77" t="str">
        <f t="shared" ca="1" si="3"/>
        <v/>
      </c>
    </row>
    <row r="78" spans="53:53" x14ac:dyDescent="0.25">
      <c r="BA78" t="str">
        <f t="shared" ca="1" si="3"/>
        <v/>
      </c>
    </row>
    <row r="79" spans="53:53" x14ac:dyDescent="0.25">
      <c r="BA79" t="str">
        <f t="shared" ca="1" si="3"/>
        <v/>
      </c>
    </row>
    <row r="80" spans="53:53" x14ac:dyDescent="0.25">
      <c r="BA80" t="str">
        <f t="shared" ca="1" si="3"/>
        <v/>
      </c>
    </row>
    <row r="81" spans="53:53" x14ac:dyDescent="0.25">
      <c r="BA81" t="str">
        <f t="shared" ca="1" si="3"/>
        <v/>
      </c>
    </row>
    <row r="82" spans="53:53" x14ac:dyDescent="0.25">
      <c r="BA82" t="str">
        <f t="shared" ca="1" si="3"/>
        <v/>
      </c>
    </row>
    <row r="83" spans="53:53" x14ac:dyDescent="0.25">
      <c r="BA83" t="str">
        <f t="shared" ca="1" si="3"/>
        <v/>
      </c>
    </row>
    <row r="84" spans="53:53" x14ac:dyDescent="0.25">
      <c r="BA84" t="str">
        <f t="shared" ca="1" si="3"/>
        <v/>
      </c>
    </row>
    <row r="85" spans="53:53" x14ac:dyDescent="0.25">
      <c r="BA85" t="str">
        <f t="shared" ca="1" si="3"/>
        <v/>
      </c>
    </row>
    <row r="86" spans="53:53" x14ac:dyDescent="0.25">
      <c r="BA86" t="str">
        <f t="shared" ca="1" si="3"/>
        <v/>
      </c>
    </row>
    <row r="87" spans="53:53" x14ac:dyDescent="0.25">
      <c r="BA87" t="str">
        <f t="shared" ca="1" si="3"/>
        <v/>
      </c>
    </row>
    <row r="88" spans="53:53" x14ac:dyDescent="0.25">
      <c r="BA88" t="str">
        <f t="shared" ca="1" si="3"/>
        <v/>
      </c>
    </row>
    <row r="89" spans="53:53" x14ac:dyDescent="0.25">
      <c r="BA89" t="str">
        <f t="shared" ca="1" si="3"/>
        <v/>
      </c>
    </row>
    <row r="90" spans="53:53" x14ac:dyDescent="0.25">
      <c r="BA90" t="str">
        <f t="shared" ca="1" si="3"/>
        <v/>
      </c>
    </row>
    <row r="91" spans="53:53" x14ac:dyDescent="0.25">
      <c r="BA91" t="str">
        <f t="shared" ca="1" si="3"/>
        <v/>
      </c>
    </row>
    <row r="92" spans="53:53" x14ac:dyDescent="0.25">
      <c r="BA92" t="str">
        <f t="shared" ca="1" si="3"/>
        <v/>
      </c>
    </row>
    <row r="93" spans="53:53" x14ac:dyDescent="0.25">
      <c r="BA93" t="str">
        <f t="shared" ca="1" si="3"/>
        <v/>
      </c>
    </row>
    <row r="94" spans="53:53" x14ac:dyDescent="0.25">
      <c r="BA94" t="str">
        <f t="shared" ca="1" si="3"/>
        <v/>
      </c>
    </row>
    <row r="95" spans="53:53" x14ac:dyDescent="0.25">
      <c r="BA95" t="str">
        <f t="shared" ca="1" si="3"/>
        <v/>
      </c>
    </row>
    <row r="96" spans="53:53" x14ac:dyDescent="0.25">
      <c r="BA96" t="str">
        <f t="shared" ca="1" si="3"/>
        <v/>
      </c>
    </row>
    <row r="97" spans="53:53" x14ac:dyDescent="0.25">
      <c r="BA97" t="str">
        <f t="shared" ca="1" si="3"/>
        <v/>
      </c>
    </row>
    <row r="98" spans="53:53" x14ac:dyDescent="0.25">
      <c r="BA98" t="str">
        <f t="shared" ca="1" si="3"/>
        <v/>
      </c>
    </row>
    <row r="99" spans="53:53" x14ac:dyDescent="0.25">
      <c r="BA99" t="str">
        <f t="shared" ca="1" si="3"/>
        <v/>
      </c>
    </row>
    <row r="100" spans="53:53" x14ac:dyDescent="0.25">
      <c r="BA100" t="str">
        <f t="shared" ca="1" si="3"/>
        <v/>
      </c>
    </row>
    <row r="101" spans="53:53" x14ac:dyDescent="0.25">
      <c r="BA101" t="str">
        <f t="shared" ca="1" si="3"/>
        <v/>
      </c>
    </row>
    <row r="102" spans="53:53" x14ac:dyDescent="0.25">
      <c r="BA102" t="str">
        <f t="shared" ca="1" si="3"/>
        <v/>
      </c>
    </row>
    <row r="103" spans="53:53" x14ac:dyDescent="0.25">
      <c r="BA103" t="str">
        <f t="shared" ca="1" si="3"/>
        <v/>
      </c>
    </row>
    <row r="104" spans="53:53" x14ac:dyDescent="0.25">
      <c r="BA104" t="str">
        <f t="shared" ca="1" si="3"/>
        <v/>
      </c>
    </row>
    <row r="105" spans="53:53" x14ac:dyDescent="0.25">
      <c r="BA105" t="str">
        <f t="shared" ca="1" si="3"/>
        <v/>
      </c>
    </row>
    <row r="106" spans="53:53" x14ac:dyDescent="0.25">
      <c r="BA106" t="str">
        <f t="shared" ca="1" si="3"/>
        <v/>
      </c>
    </row>
    <row r="107" spans="53:53" x14ac:dyDescent="0.25">
      <c r="BA107" t="str">
        <f t="shared" ca="1" si="3"/>
        <v/>
      </c>
    </row>
    <row r="108" spans="53:53" x14ac:dyDescent="0.25">
      <c r="BA108" t="str">
        <f t="shared" ca="1" si="3"/>
        <v/>
      </c>
    </row>
    <row r="109" spans="53:53" x14ac:dyDescent="0.25">
      <c r="BA109" t="str">
        <f t="shared" ca="1" si="3"/>
        <v/>
      </c>
    </row>
    <row r="110" spans="53:53" x14ac:dyDescent="0.25">
      <c r="BA110" t="str">
        <f t="shared" ca="1" si="3"/>
        <v/>
      </c>
    </row>
    <row r="111" spans="53:53" x14ac:dyDescent="0.25">
      <c r="BA111" t="str">
        <f t="shared" ca="1" si="3"/>
        <v/>
      </c>
    </row>
    <row r="112" spans="53:53" x14ac:dyDescent="0.25">
      <c r="BA112" t="str">
        <f t="shared" ca="1" si="3"/>
        <v/>
      </c>
    </row>
    <row r="113" spans="53:53" x14ac:dyDescent="0.25">
      <c r="BA113" t="str">
        <f t="shared" ca="1" si="3"/>
        <v/>
      </c>
    </row>
    <row r="114" spans="53:53" x14ac:dyDescent="0.25">
      <c r="BA114" t="str">
        <f t="shared" ca="1" si="3"/>
        <v/>
      </c>
    </row>
    <row r="115" spans="53:53" x14ac:dyDescent="0.25">
      <c r="BA115" t="str">
        <f t="shared" ca="1" si="3"/>
        <v/>
      </c>
    </row>
    <row r="116" spans="53:53" x14ac:dyDescent="0.25">
      <c r="BA116" t="str">
        <f t="shared" ca="1" si="3"/>
        <v/>
      </c>
    </row>
    <row r="117" spans="53:53" x14ac:dyDescent="0.25">
      <c r="BA117" t="str">
        <f t="shared" ca="1" si="3"/>
        <v/>
      </c>
    </row>
    <row r="118" spans="53:53" x14ac:dyDescent="0.25">
      <c r="BA118" t="str">
        <f t="shared" ca="1" si="3"/>
        <v/>
      </c>
    </row>
    <row r="119" spans="53:53" x14ac:dyDescent="0.25">
      <c r="BA119" t="str">
        <f t="shared" ca="1" si="3"/>
        <v/>
      </c>
    </row>
    <row r="120" spans="53:53" x14ac:dyDescent="0.25">
      <c r="BA120" t="str">
        <f t="shared" ca="1" si="3"/>
        <v/>
      </c>
    </row>
    <row r="121" spans="53:53" x14ac:dyDescent="0.25">
      <c r="BA121" t="str">
        <f t="shared" ca="1" si="3"/>
        <v/>
      </c>
    </row>
    <row r="122" spans="53:53" x14ac:dyDescent="0.25">
      <c r="BA122" t="str">
        <f t="shared" ca="1" si="3"/>
        <v/>
      </c>
    </row>
    <row r="123" spans="53:53" x14ac:dyDescent="0.25">
      <c r="BA123" t="str">
        <f t="shared" ca="1" si="3"/>
        <v/>
      </c>
    </row>
    <row r="124" spans="53:53" x14ac:dyDescent="0.25">
      <c r="BA124" t="str">
        <f t="shared" ca="1" si="3"/>
        <v/>
      </c>
    </row>
    <row r="125" spans="53:53" x14ac:dyDescent="0.25">
      <c r="BA125" t="str">
        <f t="shared" ca="1" si="3"/>
        <v/>
      </c>
    </row>
    <row r="126" spans="53:53" x14ac:dyDescent="0.25">
      <c r="BA126" t="str">
        <f t="shared" ca="1" si="3"/>
        <v/>
      </c>
    </row>
    <row r="127" spans="53:53" x14ac:dyDescent="0.25">
      <c r="BA127" t="str">
        <f t="shared" ca="1" si="3"/>
        <v/>
      </c>
    </row>
    <row r="128" spans="53:53" x14ac:dyDescent="0.25">
      <c r="BA128" t="str">
        <f t="shared" ca="1" si="3"/>
        <v/>
      </c>
    </row>
    <row r="129" spans="53:53" x14ac:dyDescent="0.25">
      <c r="BA129" t="str">
        <f t="shared" ca="1" si="3"/>
        <v/>
      </c>
    </row>
    <row r="130" spans="53:53" x14ac:dyDescent="0.25">
      <c r="BA130" t="str">
        <f t="shared" ref="BA130:BA193" ca="1" si="4">IF(AND(TRIM($V130)="",TRIM($W130)="",TRIM($X130)=""),"",IF(AND(TRIM($V130)="",TRIM($W130)=""),$X130,IF(IFERROR(TODAY()&gt;=IF(ISNUMBER($AB130),INT($AB130),DATEVALUE(""&amp;$AB130)),FALSE),$X130,IF(AND(TRIM($W130)&lt;&gt;"",IFERROR(TODAY()&gt;=IF(ISNUMBER($AA130),INT($AA130),DATEVALUE(""&amp;$AA130)),FALSE)),$W130,IF(TRIM($V130)&lt;&gt;"",$V130,IF(TRIM($W130)&lt;&gt;"",$W130,$X130))))))</f>
        <v/>
      </c>
    </row>
    <row r="131" spans="53:53" x14ac:dyDescent="0.25">
      <c r="BA131" t="str">
        <f t="shared" ca="1" si="4"/>
        <v/>
      </c>
    </row>
    <row r="132" spans="53:53" x14ac:dyDescent="0.25">
      <c r="BA132" t="str">
        <f t="shared" ca="1" si="4"/>
        <v/>
      </c>
    </row>
    <row r="133" spans="53:53" x14ac:dyDescent="0.25">
      <c r="BA133" t="str">
        <f t="shared" ca="1" si="4"/>
        <v/>
      </c>
    </row>
    <row r="134" spans="53:53" x14ac:dyDescent="0.25">
      <c r="BA134" t="str">
        <f t="shared" ca="1" si="4"/>
        <v/>
      </c>
    </row>
    <row r="135" spans="53:53" x14ac:dyDescent="0.25">
      <c r="BA135" t="str">
        <f t="shared" ca="1" si="4"/>
        <v/>
      </c>
    </row>
    <row r="136" spans="53:53" x14ac:dyDescent="0.25">
      <c r="BA136" t="str">
        <f t="shared" ca="1" si="4"/>
        <v/>
      </c>
    </row>
    <row r="137" spans="53:53" x14ac:dyDescent="0.25">
      <c r="BA137" t="str">
        <f t="shared" ca="1" si="4"/>
        <v/>
      </c>
    </row>
    <row r="138" spans="53:53" x14ac:dyDescent="0.25">
      <c r="BA138" t="str">
        <f t="shared" ca="1" si="4"/>
        <v/>
      </c>
    </row>
    <row r="139" spans="53:53" x14ac:dyDescent="0.25">
      <c r="BA139" t="str">
        <f t="shared" ca="1" si="4"/>
        <v/>
      </c>
    </row>
    <row r="140" spans="53:53" x14ac:dyDescent="0.25">
      <c r="BA140" t="str">
        <f t="shared" ca="1" si="4"/>
        <v/>
      </c>
    </row>
    <row r="141" spans="53:53" x14ac:dyDescent="0.25">
      <c r="BA141" t="str">
        <f t="shared" ca="1" si="4"/>
        <v/>
      </c>
    </row>
    <row r="142" spans="53:53" x14ac:dyDescent="0.25">
      <c r="BA142" t="str">
        <f t="shared" ca="1" si="4"/>
        <v/>
      </c>
    </row>
    <row r="143" spans="53:53" x14ac:dyDescent="0.25">
      <c r="BA143" t="str">
        <f t="shared" ca="1" si="4"/>
        <v/>
      </c>
    </row>
    <row r="144" spans="53:53" x14ac:dyDescent="0.25">
      <c r="BA144" t="str">
        <f t="shared" ca="1" si="4"/>
        <v/>
      </c>
    </row>
    <row r="145" spans="53:53" x14ac:dyDescent="0.25">
      <c r="BA145" t="str">
        <f t="shared" ca="1" si="4"/>
        <v/>
      </c>
    </row>
    <row r="146" spans="53:53" x14ac:dyDescent="0.25">
      <c r="BA146" t="str">
        <f t="shared" ca="1" si="4"/>
        <v/>
      </c>
    </row>
    <row r="147" spans="53:53" x14ac:dyDescent="0.25">
      <c r="BA147" t="str">
        <f t="shared" ca="1" si="4"/>
        <v/>
      </c>
    </row>
    <row r="148" spans="53:53" x14ac:dyDescent="0.25">
      <c r="BA148" t="str">
        <f t="shared" ca="1" si="4"/>
        <v/>
      </c>
    </row>
    <row r="149" spans="53:53" x14ac:dyDescent="0.25">
      <c r="BA149" t="str">
        <f t="shared" ca="1" si="4"/>
        <v/>
      </c>
    </row>
    <row r="150" spans="53:53" x14ac:dyDescent="0.25">
      <c r="BA150" t="str">
        <f t="shared" ca="1" si="4"/>
        <v/>
      </c>
    </row>
    <row r="151" spans="53:53" x14ac:dyDescent="0.25">
      <c r="BA151" t="str">
        <f t="shared" ca="1" si="4"/>
        <v/>
      </c>
    </row>
    <row r="152" spans="53:53" x14ac:dyDescent="0.25">
      <c r="BA152" t="str">
        <f t="shared" ca="1" si="4"/>
        <v/>
      </c>
    </row>
    <row r="153" spans="53:53" x14ac:dyDescent="0.25">
      <c r="BA153" t="str">
        <f t="shared" ca="1" si="4"/>
        <v/>
      </c>
    </row>
    <row r="154" spans="53:53" x14ac:dyDescent="0.25">
      <c r="BA154" t="str">
        <f t="shared" ca="1" si="4"/>
        <v/>
      </c>
    </row>
    <row r="155" spans="53:53" x14ac:dyDescent="0.25">
      <c r="BA155" t="str">
        <f t="shared" ca="1" si="4"/>
        <v/>
      </c>
    </row>
    <row r="156" spans="53:53" x14ac:dyDescent="0.25">
      <c r="BA156" t="str">
        <f t="shared" ca="1" si="4"/>
        <v/>
      </c>
    </row>
    <row r="157" spans="53:53" x14ac:dyDescent="0.25">
      <c r="BA157" t="str">
        <f t="shared" ca="1" si="4"/>
        <v/>
      </c>
    </row>
    <row r="158" spans="53:53" x14ac:dyDescent="0.25">
      <c r="BA158" t="str">
        <f t="shared" ca="1" si="4"/>
        <v/>
      </c>
    </row>
    <row r="159" spans="53:53" x14ac:dyDescent="0.25">
      <c r="BA159" t="str">
        <f t="shared" ca="1" si="4"/>
        <v/>
      </c>
    </row>
    <row r="160" spans="53:53" x14ac:dyDescent="0.25">
      <c r="BA160" t="str">
        <f t="shared" ca="1" si="4"/>
        <v/>
      </c>
    </row>
    <row r="161" spans="53:53" x14ac:dyDescent="0.25">
      <c r="BA161" t="str">
        <f t="shared" ca="1" si="4"/>
        <v/>
      </c>
    </row>
    <row r="162" spans="53:53" x14ac:dyDescent="0.25">
      <c r="BA162" t="str">
        <f t="shared" ca="1" si="4"/>
        <v/>
      </c>
    </row>
    <row r="163" spans="53:53" x14ac:dyDescent="0.25">
      <c r="BA163" t="str">
        <f t="shared" ca="1" si="4"/>
        <v/>
      </c>
    </row>
    <row r="164" spans="53:53" x14ac:dyDescent="0.25">
      <c r="BA164" t="str">
        <f t="shared" ca="1" si="4"/>
        <v/>
      </c>
    </row>
    <row r="165" spans="53:53" x14ac:dyDescent="0.25">
      <c r="BA165" t="str">
        <f t="shared" ca="1" si="4"/>
        <v/>
      </c>
    </row>
    <row r="166" spans="53:53" x14ac:dyDescent="0.25">
      <c r="BA166" t="str">
        <f t="shared" ca="1" si="4"/>
        <v/>
      </c>
    </row>
    <row r="167" spans="53:53" x14ac:dyDescent="0.25">
      <c r="BA167" t="str">
        <f t="shared" ca="1" si="4"/>
        <v/>
      </c>
    </row>
    <row r="168" spans="53:53" x14ac:dyDescent="0.25">
      <c r="BA168" t="str">
        <f t="shared" ca="1" si="4"/>
        <v/>
      </c>
    </row>
    <row r="169" spans="53:53" x14ac:dyDescent="0.25">
      <c r="BA169" t="str">
        <f t="shared" ca="1" si="4"/>
        <v/>
      </c>
    </row>
    <row r="170" spans="53:53" x14ac:dyDescent="0.25">
      <c r="BA170" t="str">
        <f t="shared" ca="1" si="4"/>
        <v/>
      </c>
    </row>
    <row r="171" spans="53:53" x14ac:dyDescent="0.25">
      <c r="BA171" t="str">
        <f t="shared" ca="1" si="4"/>
        <v/>
      </c>
    </row>
    <row r="172" spans="53:53" x14ac:dyDescent="0.25">
      <c r="BA172" t="str">
        <f t="shared" ca="1" si="4"/>
        <v/>
      </c>
    </row>
    <row r="173" spans="53:53" x14ac:dyDescent="0.25">
      <c r="BA173" t="str">
        <f t="shared" ca="1" si="4"/>
        <v/>
      </c>
    </row>
    <row r="174" spans="53:53" x14ac:dyDescent="0.25">
      <c r="BA174" t="str">
        <f t="shared" ca="1" si="4"/>
        <v/>
      </c>
    </row>
    <row r="175" spans="53:53" x14ac:dyDescent="0.25">
      <c r="BA175" t="str">
        <f t="shared" ca="1" si="4"/>
        <v/>
      </c>
    </row>
    <row r="176" spans="53:53" x14ac:dyDescent="0.25">
      <c r="BA176" t="str">
        <f t="shared" ca="1" si="4"/>
        <v/>
      </c>
    </row>
    <row r="177" spans="53:53" x14ac:dyDescent="0.25">
      <c r="BA177" t="str">
        <f t="shared" ca="1" si="4"/>
        <v/>
      </c>
    </row>
    <row r="178" spans="53:53" x14ac:dyDescent="0.25">
      <c r="BA178" t="str">
        <f t="shared" ca="1" si="4"/>
        <v/>
      </c>
    </row>
    <row r="179" spans="53:53" x14ac:dyDescent="0.25">
      <c r="BA179" t="str">
        <f t="shared" ca="1" si="4"/>
        <v/>
      </c>
    </row>
    <row r="180" spans="53:53" x14ac:dyDescent="0.25">
      <c r="BA180" t="str">
        <f t="shared" ca="1" si="4"/>
        <v/>
      </c>
    </row>
    <row r="181" spans="53:53" x14ac:dyDescent="0.25">
      <c r="BA181" t="str">
        <f t="shared" ca="1" si="4"/>
        <v/>
      </c>
    </row>
    <row r="182" spans="53:53" x14ac:dyDescent="0.25">
      <c r="BA182" t="str">
        <f t="shared" ca="1" si="4"/>
        <v/>
      </c>
    </row>
    <row r="183" spans="53:53" x14ac:dyDescent="0.25">
      <c r="BA183" t="str">
        <f t="shared" ca="1" si="4"/>
        <v/>
      </c>
    </row>
    <row r="184" spans="53:53" x14ac:dyDescent="0.25">
      <c r="BA184" t="str">
        <f t="shared" ca="1" si="4"/>
        <v/>
      </c>
    </row>
    <row r="185" spans="53:53" x14ac:dyDescent="0.25">
      <c r="BA185" t="str">
        <f t="shared" ca="1" si="4"/>
        <v/>
      </c>
    </row>
    <row r="186" spans="53:53" x14ac:dyDescent="0.25">
      <c r="BA186" t="str">
        <f t="shared" ca="1" si="4"/>
        <v/>
      </c>
    </row>
    <row r="187" spans="53:53" x14ac:dyDescent="0.25">
      <c r="BA187" t="str">
        <f t="shared" ca="1" si="4"/>
        <v/>
      </c>
    </row>
    <row r="188" spans="53:53" x14ac:dyDescent="0.25">
      <c r="BA188" t="str">
        <f t="shared" ca="1" si="4"/>
        <v/>
      </c>
    </row>
    <row r="189" spans="53:53" x14ac:dyDescent="0.25">
      <c r="BA189" t="str">
        <f t="shared" ca="1" si="4"/>
        <v/>
      </c>
    </row>
    <row r="190" spans="53:53" x14ac:dyDescent="0.25">
      <c r="BA190" t="str">
        <f t="shared" ca="1" si="4"/>
        <v/>
      </c>
    </row>
    <row r="191" spans="53:53" x14ac:dyDescent="0.25">
      <c r="BA191" t="str">
        <f t="shared" ca="1" si="4"/>
        <v/>
      </c>
    </row>
    <row r="192" spans="53:53" x14ac:dyDescent="0.25">
      <c r="BA192" t="str">
        <f t="shared" ca="1" si="4"/>
        <v/>
      </c>
    </row>
    <row r="193" spans="53:53" x14ac:dyDescent="0.25">
      <c r="BA193" t="str">
        <f t="shared" ca="1" si="4"/>
        <v/>
      </c>
    </row>
    <row r="194" spans="53:53" x14ac:dyDescent="0.25">
      <c r="BA194" t="str">
        <f t="shared" ref="BA194:BA250" ca="1" si="5">IF(AND(TRIM($V194)="",TRIM($W194)="",TRIM($X194)=""),"",IF(AND(TRIM($V194)="",TRIM($W194)=""),$X194,IF(IFERROR(TODAY()&gt;=IF(ISNUMBER($AB194),INT($AB194),DATEVALUE(""&amp;$AB194)),FALSE),$X194,IF(AND(TRIM($W194)&lt;&gt;"",IFERROR(TODAY()&gt;=IF(ISNUMBER($AA194),INT($AA194),DATEVALUE(""&amp;$AA194)),FALSE)),$W194,IF(TRIM($V194)&lt;&gt;"",$V194,IF(TRIM($W194)&lt;&gt;"",$W194,$X194))))))</f>
        <v/>
      </c>
    </row>
    <row r="195" spans="53:53" x14ac:dyDescent="0.25">
      <c r="BA195" t="str">
        <f t="shared" ca="1" si="5"/>
        <v/>
      </c>
    </row>
    <row r="196" spans="53:53" x14ac:dyDescent="0.25">
      <c r="BA196" t="str">
        <f t="shared" ca="1" si="5"/>
        <v/>
      </c>
    </row>
    <row r="197" spans="53:53" x14ac:dyDescent="0.25">
      <c r="BA197" t="str">
        <f t="shared" ca="1" si="5"/>
        <v/>
      </c>
    </row>
    <row r="198" spans="53:53" x14ac:dyDescent="0.25">
      <c r="BA198" t="str">
        <f t="shared" ca="1" si="5"/>
        <v/>
      </c>
    </row>
    <row r="199" spans="53:53" x14ac:dyDescent="0.25">
      <c r="BA199" t="str">
        <f t="shared" ca="1" si="5"/>
        <v/>
      </c>
    </row>
    <row r="200" spans="53:53" x14ac:dyDescent="0.25">
      <c r="BA200" t="str">
        <f t="shared" ca="1" si="5"/>
        <v/>
      </c>
    </row>
    <row r="201" spans="53:53" x14ac:dyDescent="0.25">
      <c r="BA201" t="str">
        <f t="shared" ca="1" si="5"/>
        <v/>
      </c>
    </row>
    <row r="202" spans="53:53" x14ac:dyDescent="0.25">
      <c r="BA202" t="str">
        <f t="shared" ca="1" si="5"/>
        <v/>
      </c>
    </row>
    <row r="203" spans="53:53" x14ac:dyDescent="0.25">
      <c r="BA203" t="str">
        <f t="shared" ca="1" si="5"/>
        <v/>
      </c>
    </row>
    <row r="204" spans="53:53" x14ac:dyDescent="0.25">
      <c r="BA204" t="str">
        <f t="shared" ca="1" si="5"/>
        <v/>
      </c>
    </row>
    <row r="205" spans="53:53" x14ac:dyDescent="0.25">
      <c r="BA205" t="str">
        <f t="shared" ca="1" si="5"/>
        <v/>
      </c>
    </row>
    <row r="206" spans="53:53" x14ac:dyDescent="0.25">
      <c r="BA206" t="str">
        <f t="shared" ca="1" si="5"/>
        <v/>
      </c>
    </row>
    <row r="207" spans="53:53" x14ac:dyDescent="0.25">
      <c r="BA207" t="str">
        <f t="shared" ca="1" si="5"/>
        <v/>
      </c>
    </row>
    <row r="208" spans="53:53" x14ac:dyDescent="0.25">
      <c r="BA208" t="str">
        <f t="shared" ca="1" si="5"/>
        <v/>
      </c>
    </row>
    <row r="209" spans="53:53" x14ac:dyDescent="0.25">
      <c r="BA209" t="str">
        <f t="shared" ca="1" si="5"/>
        <v/>
      </c>
    </row>
    <row r="210" spans="53:53" x14ac:dyDescent="0.25">
      <c r="BA210" t="str">
        <f t="shared" ca="1" si="5"/>
        <v/>
      </c>
    </row>
    <row r="211" spans="53:53" x14ac:dyDescent="0.25">
      <c r="BA211" t="str">
        <f t="shared" ca="1" si="5"/>
        <v/>
      </c>
    </row>
    <row r="212" spans="53:53" x14ac:dyDescent="0.25">
      <c r="BA212" t="str">
        <f t="shared" ca="1" si="5"/>
        <v/>
      </c>
    </row>
    <row r="213" spans="53:53" x14ac:dyDescent="0.25">
      <c r="BA213" t="str">
        <f t="shared" ca="1" si="5"/>
        <v/>
      </c>
    </row>
    <row r="214" spans="53:53" x14ac:dyDescent="0.25">
      <c r="BA214" t="str">
        <f t="shared" ca="1" si="5"/>
        <v/>
      </c>
    </row>
    <row r="215" spans="53:53" x14ac:dyDescent="0.25">
      <c r="BA215" t="str">
        <f t="shared" ca="1" si="5"/>
        <v/>
      </c>
    </row>
    <row r="216" spans="53:53" x14ac:dyDescent="0.25">
      <c r="BA216" t="str">
        <f t="shared" ca="1" si="5"/>
        <v/>
      </c>
    </row>
    <row r="217" spans="53:53" x14ac:dyDescent="0.25">
      <c r="BA217" t="str">
        <f t="shared" ca="1" si="5"/>
        <v/>
      </c>
    </row>
    <row r="218" spans="53:53" x14ac:dyDescent="0.25">
      <c r="BA218" t="str">
        <f t="shared" ca="1" si="5"/>
        <v/>
      </c>
    </row>
    <row r="219" spans="53:53" x14ac:dyDescent="0.25">
      <c r="BA219" t="str">
        <f t="shared" ca="1" si="5"/>
        <v/>
      </c>
    </row>
    <row r="220" spans="53:53" x14ac:dyDescent="0.25">
      <c r="BA220" t="str">
        <f t="shared" ca="1" si="5"/>
        <v/>
      </c>
    </row>
    <row r="221" spans="53:53" x14ac:dyDescent="0.25">
      <c r="BA221" t="str">
        <f t="shared" ca="1" si="5"/>
        <v/>
      </c>
    </row>
    <row r="222" spans="53:53" x14ac:dyDescent="0.25">
      <c r="BA222" t="str">
        <f t="shared" ca="1" si="5"/>
        <v/>
      </c>
    </row>
    <row r="223" spans="53:53" x14ac:dyDescent="0.25">
      <c r="BA223" t="str">
        <f t="shared" ca="1" si="5"/>
        <v/>
      </c>
    </row>
    <row r="224" spans="53:53" x14ac:dyDescent="0.25">
      <c r="BA224" t="str">
        <f t="shared" ca="1" si="5"/>
        <v/>
      </c>
    </row>
    <row r="225" spans="53:53" x14ac:dyDescent="0.25">
      <c r="BA225" t="str">
        <f t="shared" ca="1" si="5"/>
        <v/>
      </c>
    </row>
    <row r="226" spans="53:53" x14ac:dyDescent="0.25">
      <c r="BA226" t="str">
        <f t="shared" ca="1" si="5"/>
        <v/>
      </c>
    </row>
    <row r="227" spans="53:53" x14ac:dyDescent="0.25">
      <c r="BA227" t="str">
        <f t="shared" ca="1" si="5"/>
        <v/>
      </c>
    </row>
    <row r="228" spans="53:53" x14ac:dyDescent="0.25">
      <c r="BA228" t="str">
        <f t="shared" ca="1" si="5"/>
        <v/>
      </c>
    </row>
    <row r="229" spans="53:53" x14ac:dyDescent="0.25">
      <c r="BA229" t="str">
        <f t="shared" ca="1" si="5"/>
        <v/>
      </c>
    </row>
    <row r="230" spans="53:53" x14ac:dyDescent="0.25">
      <c r="BA230" t="str">
        <f t="shared" ca="1" si="5"/>
        <v/>
      </c>
    </row>
    <row r="231" spans="53:53" x14ac:dyDescent="0.25">
      <c r="BA231" t="str">
        <f t="shared" ca="1" si="5"/>
        <v/>
      </c>
    </row>
    <row r="232" spans="53:53" x14ac:dyDescent="0.25">
      <c r="BA232" t="str">
        <f t="shared" ca="1" si="5"/>
        <v/>
      </c>
    </row>
    <row r="233" spans="53:53" x14ac:dyDescent="0.25">
      <c r="BA233" t="str">
        <f t="shared" ca="1" si="5"/>
        <v/>
      </c>
    </row>
    <row r="234" spans="53:53" x14ac:dyDescent="0.25">
      <c r="BA234" t="str">
        <f t="shared" ca="1" si="5"/>
        <v/>
      </c>
    </row>
    <row r="235" spans="53:53" x14ac:dyDescent="0.25">
      <c r="BA235" t="str">
        <f t="shared" ca="1" si="5"/>
        <v/>
      </c>
    </row>
    <row r="236" spans="53:53" x14ac:dyDescent="0.25">
      <c r="BA236" t="str">
        <f t="shared" ca="1" si="5"/>
        <v/>
      </c>
    </row>
    <row r="237" spans="53:53" x14ac:dyDescent="0.25">
      <c r="BA237" t="str">
        <f t="shared" ca="1" si="5"/>
        <v/>
      </c>
    </row>
    <row r="238" spans="53:53" x14ac:dyDescent="0.25">
      <c r="BA238" t="str">
        <f t="shared" ca="1" si="5"/>
        <v/>
      </c>
    </row>
    <row r="239" spans="53:53" x14ac:dyDescent="0.25">
      <c r="BA239" t="str">
        <f t="shared" ca="1" si="5"/>
        <v/>
      </c>
    </row>
    <row r="240" spans="53:53" x14ac:dyDescent="0.25">
      <c r="BA240" t="str">
        <f t="shared" ca="1" si="5"/>
        <v/>
      </c>
    </row>
    <row r="241" spans="53:53" x14ac:dyDescent="0.25">
      <c r="BA241" t="str">
        <f t="shared" ca="1" si="5"/>
        <v/>
      </c>
    </row>
    <row r="242" spans="53:53" x14ac:dyDescent="0.25">
      <c r="BA242" t="str">
        <f t="shared" ca="1" si="5"/>
        <v/>
      </c>
    </row>
    <row r="243" spans="53:53" x14ac:dyDescent="0.25">
      <c r="BA243" t="str">
        <f t="shared" ca="1" si="5"/>
        <v/>
      </c>
    </row>
    <row r="244" spans="53:53" x14ac:dyDescent="0.25">
      <c r="BA244" t="str">
        <f t="shared" ca="1" si="5"/>
        <v/>
      </c>
    </row>
    <row r="245" spans="53:53" x14ac:dyDescent="0.25">
      <c r="BA245" t="str">
        <f t="shared" ca="1" si="5"/>
        <v/>
      </c>
    </row>
    <row r="246" spans="53:53" x14ac:dyDescent="0.25">
      <c r="BA246" t="str">
        <f t="shared" ca="1" si="5"/>
        <v/>
      </c>
    </row>
    <row r="247" spans="53:53" x14ac:dyDescent="0.25">
      <c r="BA247" t="str">
        <f t="shared" ca="1" si="5"/>
        <v/>
      </c>
    </row>
    <row r="248" spans="53:53" x14ac:dyDescent="0.25">
      <c r="BA248" t="str">
        <f t="shared" ca="1" si="5"/>
        <v/>
      </c>
    </row>
    <row r="249" spans="53:53" x14ac:dyDescent="0.25">
      <c r="BA249" t="str">
        <f t="shared" ca="1" si="5"/>
        <v/>
      </c>
    </row>
    <row r="250" spans="53:53" x14ac:dyDescent="0.25">
      <c r="BA250" t="str">
        <f t="shared" ca="1" si="5"/>
        <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Master Sheet_Src</vt:lpstr>
      <vt:lpstr>Req</vt:lpstr>
      <vt:lpstr>Instructions</vt:lpstr>
      <vt:lpstr>Settings</vt:lpstr>
      <vt:lpstr>Inbound Weekly Update Template </vt:lpstr>
      <vt:lpstr>ERP</vt:lpstr>
      <vt:lpstr>IDC</vt:lpstr>
      <vt:lpstr>OEC Portal</vt:lpstr>
      <vt:lpstr>OEC Email</vt:lpstr>
      <vt:lpstr>Soma</vt:lpstr>
      <vt:lpstr>UWL, Inc.</vt:lpstr>
      <vt:lpstr>Tanera Go</vt:lpstr>
      <vt:lpstr>Topocean</vt:lpstr>
      <vt:lpstr>UNIS</vt:lpstr>
      <vt:lpstr>BluVoyix</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Jordan Levy</dc:creator>
  <cp:lastModifiedBy>Luis Miguel Hernandez Triana</cp:lastModifiedBy>
  <cp:lastPrinted>2022-10-20T16:36:21Z</cp:lastPrinted>
  <dcterms:created xsi:type="dcterms:W3CDTF">2022-01-13T05:28:10Z</dcterms:created>
  <dcterms:modified xsi:type="dcterms:W3CDTF">2026-09-09T13:31:37Z</dcterms:modified>
</cp:coreProperties>
</file>