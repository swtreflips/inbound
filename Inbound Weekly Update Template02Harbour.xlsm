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231"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primetimepackaging-my.sharepoint.com/personal/luismht_primetimepackaging_com/Documents/Inbound Py/"/>
    </mc:Choice>
  </mc:AlternateContent>
  <xr:revisionPtr revIDLastSave="178" documentId="8_{93DF0D74-D88E-48F1-BA0B-E9EB22FDF275}" xr6:coauthVersionLast="47" xr6:coauthVersionMax="47" xr10:uidLastSave="{DD771732-AB96-4C92-A9C7-A5624B003608}"/>
  <bookViews>
    <workbookView xWindow="-28920" yWindow="-120" windowWidth="29040" windowHeight="15720" firstSheet="5" activeTab="14" xr2:uid="{6DE3A829-75DF-E64E-BC19-ED27B98B144E}"/>
  </bookViews>
  <sheets>
    <sheet name="Master Sheet_Src" sheetId="15" state="hidden" r:id="rId1"/>
    <sheet name="Req" sheetId="5" r:id="rId2"/>
    <sheet name="Instructions" sheetId="29" r:id="rId3"/>
    <sheet name="Settings" sheetId="4" r:id="rId4"/>
    <sheet name="Inbound Weekly Update Template " sheetId="1" r:id="rId5"/>
    <sheet name="ERP" sheetId="33" r:id="rId6"/>
    <sheet name="IDC" sheetId="35" r:id="rId7"/>
    <sheet name="OEC Portal" sheetId="34" r:id="rId8"/>
    <sheet name="OEC Email" sheetId="31" r:id="rId9"/>
    <sheet name="Soma" sheetId="38" r:id="rId10"/>
    <sheet name="Harbour" sheetId="32" r:id="rId11"/>
    <sheet name="Tanera Go" sheetId="39" r:id="rId12"/>
    <sheet name="Topocean" sheetId="37" r:id="rId13"/>
    <sheet name="UNIS" sheetId="36" r:id="rId14"/>
    <sheet name="BluVoyix" sheetId="40" r:id="rId15"/>
  </sheets>
  <functionGroups builtInGroupCount="19"/>
  <definedNames>
    <definedName name="_xlnm._FilterDatabase" localSheetId="10" hidden="1">Harbour!$C$1:$K$1</definedName>
    <definedName name="_xlnm._FilterDatabase" localSheetId="4" hidden="1">'Inbound Weekly Update Template '!$A$1:$BU$63</definedName>
    <definedName name="_xlnm._FilterDatabase" localSheetId="7" hidden="1">'OEC Portal'!$A$1:$T$1</definedName>
    <definedName name="_xlnm._FilterDatabase" localSheetId="12" hidden="1">Topocean!$A$1:$AB$1</definedName>
    <definedName name="_xlnm._FilterDatabase" localSheetId="13" hidden="1">UNIS!$A$1:$Y$1</definedName>
    <definedName name="_xleta.IF"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ZZ2" i="38" l="1"/>
  <c r="ZZ2" i="40"/>
  <c r="ZZ3" i="40"/>
  <c r="ZZ4" i="40"/>
  <c r="ZZ5" i="40"/>
  <c r="ZZ6" i="40"/>
  <c r="ZZ7" i="40"/>
  <c r="ZZ8" i="40"/>
  <c r="ZZ9" i="40"/>
  <c r="ZZ10" i="40"/>
  <c r="ZZ11" i="40"/>
  <c r="ZZ12" i="40"/>
  <c r="ZZ13" i="40"/>
  <c r="ZZ14" i="40"/>
  <c r="ZZ15" i="40"/>
  <c r="ZZ16" i="40"/>
  <c r="ZZ17" i="40"/>
  <c r="ZZ18" i="40"/>
  <c r="ZZ19" i="40"/>
  <c r="ZZ20" i="40"/>
  <c r="ZZ21" i="40"/>
  <c r="ZZ22" i="40"/>
  <c r="ZZ23" i="40"/>
  <c r="ZZ24" i="40"/>
  <c r="ZZ2" i="39"/>
  <c r="ZZ3" i="39"/>
  <c r="ZZ4" i="39"/>
  <c r="ZZ5" i="39"/>
  <c r="ZZ6" i="39"/>
  <c r="ZZ7" i="39"/>
  <c r="ZZ8" i="39"/>
  <c r="ZZ9" i="39"/>
  <c r="ZZ10" i="39"/>
  <c r="ZZ11" i="39"/>
  <c r="ZZ12" i="39"/>
  <c r="ZZ13" i="39"/>
  <c r="ZZ14" i="39"/>
  <c r="ZZ15" i="39"/>
  <c r="ZZ16" i="39"/>
  <c r="ZZ17" i="39"/>
  <c r="ZZ18" i="39"/>
  <c r="ZZ19" i="39"/>
  <c r="ZZ20" i="39"/>
  <c r="ZZ21" i="39"/>
  <c r="ZZ22" i="39"/>
  <c r="ZZ23" i="39"/>
  <c r="ZZ24" i="39"/>
  <c r="ZZ25" i="39"/>
  <c r="ZZ26" i="39"/>
  <c r="ZZ27" i="39"/>
  <c r="ZZ28" i="39"/>
  <c r="ZZ29" i="39"/>
  <c r="ZZ30" i="39"/>
  <c r="ZZ31" i="39"/>
  <c r="ZZ32" i="39"/>
  <c r="ZZ33" i="39"/>
  <c r="ZZ34" i="39"/>
  <c r="ZZ35" i="39"/>
  <c r="ZZ36" i="39"/>
  <c r="ZZ37" i="39"/>
  <c r="ZZ38" i="39"/>
  <c r="ZZ39" i="39"/>
  <c r="ZZ40" i="39"/>
  <c r="ZZ41" i="39"/>
  <c r="ZZ42" i="39"/>
  <c r="ZZ43" i="39"/>
  <c r="ZZ44" i="39"/>
  <c r="ZZ45" i="39"/>
  <c r="ZZ46" i="39"/>
  <c r="ZZ47" i="39"/>
  <c r="ZZ48" i="39"/>
  <c r="ZZ49" i="39"/>
  <c r="ZZ50" i="39"/>
  <c r="ZZ51" i="39"/>
  <c r="ZZ52" i="39"/>
  <c r="ZZ53" i="39"/>
  <c r="ZZ54" i="39"/>
  <c r="ZZ55" i="39"/>
  <c r="ZZ56" i="39"/>
  <c r="ZZ57" i="39"/>
  <c r="ZZ58" i="39"/>
  <c r="ZZ59" i="39"/>
  <c r="ZZ60" i="39"/>
  <c r="ZZ61" i="39"/>
  <c r="ZZ62" i="39"/>
  <c r="ZZ63" i="39"/>
  <c r="ZZ64" i="39"/>
  <c r="ZZ65" i="39"/>
  <c r="ZZ66" i="39"/>
  <c r="ZZ67" i="39"/>
  <c r="ZZ68" i="39"/>
  <c r="ZZ69" i="39"/>
  <c r="ZZ70" i="39"/>
  <c r="ZZ71" i="39"/>
  <c r="ZZ72" i="39"/>
  <c r="ZZ73" i="39"/>
  <c r="ZZ74" i="39"/>
  <c r="ZZ75" i="39"/>
  <c r="ZZ76" i="39"/>
  <c r="ZZ77" i="39"/>
  <c r="ZZ78" i="39"/>
  <c r="ZZ79" i="39"/>
  <c r="ZZ80" i="39"/>
  <c r="ZZ81" i="39"/>
  <c r="ZZ82" i="39"/>
  <c r="ZZ83" i="39"/>
  <c r="ZZ84" i="39"/>
  <c r="ZZ85" i="39"/>
  <c r="ZZ86" i="39"/>
  <c r="ZZ87" i="39"/>
  <c r="ZZ88" i="39"/>
  <c r="ZZ89" i="39"/>
  <c r="ZZ90" i="39"/>
  <c r="ZZ91" i="39"/>
  <c r="ZZ92" i="39"/>
  <c r="ZZ93" i="39"/>
  <c r="ZZ94" i="39"/>
  <c r="ZZ95" i="39"/>
  <c r="ZZ96" i="39"/>
  <c r="ZZ97" i="39"/>
  <c r="ZZ98" i="39"/>
  <c r="ZZ99" i="39"/>
  <c r="ZZ100" i="39"/>
  <c r="ZZ101" i="39"/>
  <c r="ZZ102" i="39"/>
  <c r="ZZ103" i="39"/>
  <c r="ZZ104" i="39"/>
  <c r="ZZ105" i="39"/>
  <c r="ZZ106" i="39"/>
  <c r="ZZ107" i="39"/>
  <c r="ZZ108" i="39"/>
  <c r="ZZ109" i="39"/>
  <c r="ZZ110" i="39"/>
  <c r="ZZ111" i="39"/>
  <c r="ZZ112" i="39"/>
  <c r="ZZ113" i="39"/>
  <c r="ZZ114" i="39"/>
  <c r="ZZ115" i="39"/>
  <c r="ZZ116" i="39"/>
  <c r="ZZ117" i="39"/>
  <c r="ZZ118" i="39"/>
  <c r="ZZ119" i="39"/>
  <c r="ZZ120" i="39"/>
  <c r="ZZ121" i="39"/>
  <c r="ZZ122" i="39"/>
  <c r="ZZ123" i="39"/>
  <c r="ZZ124" i="39"/>
  <c r="ZZ125" i="39"/>
  <c r="ZZ126" i="39"/>
  <c r="ZZ127" i="39"/>
  <c r="ZZ128" i="39"/>
  <c r="ZZ129" i="39"/>
  <c r="ZZ130" i="39"/>
  <c r="ZZ131" i="39"/>
  <c r="ZZ132" i="39"/>
  <c r="ZZ133" i="39"/>
  <c r="ZZ134" i="39"/>
  <c r="ZZ135" i="39"/>
  <c r="ZZ136" i="39"/>
  <c r="ZZ137" i="39"/>
  <c r="ZZ138" i="39"/>
  <c r="ZZ139" i="39"/>
  <c r="ZZ140" i="39"/>
  <c r="ZZ141" i="39"/>
  <c r="ZZ142" i="39"/>
  <c r="ZZ2" i="37"/>
  <c r="ZZ2" i="32"/>
  <c r="ZZ3" i="32"/>
  <c r="ZZ4" i="32"/>
  <c r="ZZ5" i="32"/>
  <c r="ZZ6" i="32"/>
  <c r="ZZ7" i="32"/>
  <c r="ZZ8" i="32"/>
  <c r="ZZ9" i="32"/>
  <c r="ZZ10" i="32"/>
  <c r="ZZ11" i="32"/>
  <c r="ZZ12" i="32"/>
  <c r="ZZ13" i="32"/>
  <c r="ZZ14" i="32"/>
  <c r="ZZ15" i="32"/>
  <c r="ZZ16" i="32"/>
  <c r="ZZ17" i="32"/>
  <c r="ZZ2" i="31"/>
  <c r="AAA2" i="36"/>
  <c r="ZZ2" i="36"/>
  <c r="AAA2" i="35"/>
  <c r="AAA3" i="35"/>
  <c r="AAA4" i="35"/>
  <c r="AAA5" i="35"/>
  <c r="AAA6" i="35"/>
  <c r="ZZ2" i="35"/>
  <c r="ZZ3" i="35"/>
  <c r="ZZ4" i="35"/>
  <c r="ZZ5" i="35"/>
  <c r="ZZ6" i="35"/>
  <c r="ZZ2" i="34"/>
  <c r="AAA2" i="33"/>
  <c r="AAA3" i="33"/>
  <c r="AAA4" i="33"/>
  <c r="AAA5" i="33"/>
  <c r="AAA6" i="33"/>
  <c r="AAA7" i="33"/>
  <c r="AAA8" i="33"/>
  <c r="AAA9" i="33"/>
  <c r="AAA10" i="33"/>
  <c r="AAA11" i="33"/>
  <c r="AAA12" i="33"/>
  <c r="AAA13" i="33"/>
  <c r="AAA14" i="33"/>
  <c r="AAA15" i="33"/>
  <c r="AAA16" i="33"/>
  <c r="AAA17" i="33"/>
  <c r="AAA18" i="33"/>
  <c r="AAA19" i="33"/>
  <c r="AAA20" i="33"/>
  <c r="AAA21" i="33"/>
  <c r="AAA22" i="33"/>
  <c r="AAA23" i="33"/>
  <c r="AAA24" i="33"/>
  <c r="AAA25" i="33"/>
  <c r="AAA26" i="33"/>
  <c r="AAA27" i="33"/>
  <c r="AAA28" i="33"/>
  <c r="AAA29" i="33"/>
  <c r="AAA30" i="33"/>
  <c r="AAA31" i="33"/>
  <c r="AAA32" i="33"/>
  <c r="AAA33" i="33"/>
  <c r="AAA34" i="33"/>
  <c r="AAA35" i="33"/>
  <c r="AAA36" i="33"/>
  <c r="AAA37" i="33"/>
  <c r="AAA38" i="33"/>
  <c r="AAA39" i="33"/>
  <c r="AAA40" i="33"/>
  <c r="AAA41" i="33"/>
  <c r="AAA42" i="33"/>
  <c r="AAA43" i="33"/>
  <c r="AAA44" i="33"/>
  <c r="AAA45" i="33"/>
  <c r="AAA46" i="33"/>
  <c r="AAA47" i="33"/>
  <c r="AAA48" i="33"/>
  <c r="AAA49" i="33"/>
  <c r="AAA50" i="33"/>
  <c r="AAA51" i="33"/>
  <c r="AAA52" i="33"/>
  <c r="AAA53" i="33"/>
  <c r="ZZ2" i="33"/>
  <c r="ZZ3" i="33"/>
  <c r="ZZ4" i="33"/>
  <c r="ZZ5" i="33"/>
  <c r="ZZ6" i="33"/>
  <c r="ZZ7" i="33"/>
  <c r="ZZ8" i="33"/>
  <c r="ZZ9" i="33"/>
  <c r="ZZ10" i="33"/>
  <c r="ZZ11" i="33"/>
  <c r="ZZ12" i="33"/>
  <c r="ZZ13" i="33"/>
  <c r="ZZ14" i="33"/>
  <c r="ZZ15" i="33"/>
  <c r="ZZ16" i="33"/>
  <c r="ZZ17" i="33"/>
  <c r="ZZ18" i="33"/>
  <c r="ZZ19" i="33"/>
  <c r="ZZ20" i="33"/>
  <c r="ZZ21" i="33"/>
  <c r="ZZ22" i="33"/>
  <c r="ZZ23" i="33"/>
  <c r="ZZ24" i="33"/>
  <c r="ZZ25" i="33"/>
  <c r="ZZ26" i="33"/>
  <c r="ZZ27" i="33"/>
  <c r="ZZ28" i="33"/>
  <c r="ZZ29" i="33"/>
  <c r="ZZ30" i="33"/>
  <c r="ZZ31" i="33"/>
  <c r="ZZ32" i="33"/>
  <c r="ZZ33" i="33"/>
  <c r="ZZ34" i="33"/>
  <c r="ZZ35" i="33"/>
  <c r="ZZ36" i="33"/>
  <c r="ZZ37" i="33"/>
  <c r="ZZ38" i="33"/>
  <c r="ZZ39" i="33"/>
  <c r="ZZ40" i="33"/>
  <c r="ZZ41" i="33"/>
  <c r="ZZ42" i="33"/>
  <c r="ZZ43" i="33"/>
  <c r="ZZ44" i="33"/>
  <c r="ZZ45" i="33"/>
  <c r="ZZ46" i="33"/>
  <c r="ZZ47" i="33"/>
  <c r="ZZ48" i="33"/>
  <c r="ZZ49" i="33"/>
  <c r="ZZ50" i="33"/>
  <c r="ZZ51" i="33"/>
  <c r="ZZ52" i="33"/>
  <c r="ZZ53" i="33"/>
  <c r="AAB114" i="39"/>
  <c r="AAB115" i="39"/>
  <c r="AAB116" i="39"/>
  <c r="AAB117" i="39"/>
  <c r="AAB118" i="39"/>
  <c r="AAB119" i="39"/>
  <c r="AAB120" i="39"/>
  <c r="AAB121" i="39"/>
  <c r="AAB122" i="39"/>
  <c r="AAB123" i="39"/>
  <c r="AAB124" i="39"/>
  <c r="AAB125" i="39"/>
  <c r="AAB126" i="39"/>
  <c r="AAB127" i="39"/>
  <c r="AAB128" i="39"/>
  <c r="AAB129" i="39"/>
  <c r="AAB130" i="39"/>
  <c r="AAB131" i="39"/>
  <c r="AAB132" i="39"/>
  <c r="AAB133" i="39"/>
  <c r="AAB134" i="39"/>
  <c r="AAB135" i="39"/>
  <c r="AAB136" i="39"/>
  <c r="AAB137" i="39"/>
  <c r="AAB138" i="39"/>
  <c r="AAB139" i="39"/>
  <c r="AAB140" i="39"/>
  <c r="AAB141" i="39"/>
  <c r="AAB142" i="39"/>
  <c r="ZV2" i="32"/>
</calcChain>
</file>

<file path=xl/sharedStrings.xml><?xml version="1.0" encoding="utf-8"?>
<sst xmlns="http://schemas.openxmlformats.org/spreadsheetml/2006/main" count="1461" uniqueCount="507">
  <si>
    <t>Internal ID</t>
  </si>
  <si>
    <t>Date Created</t>
  </si>
  <si>
    <t>Status</t>
  </si>
  <si>
    <t>Shipment Number</t>
  </si>
  <si>
    <t>Freight Forwarder</t>
  </si>
  <si>
    <t>Container Number</t>
  </si>
  <si>
    <t>House Bill of Lading</t>
  </si>
  <si>
    <t>Unique ID</t>
  </si>
  <si>
    <t>Master Bill of Lading</t>
  </si>
  <si>
    <t>Master Bill of Lading (Forwarder 1)</t>
  </si>
  <si>
    <t>Master Bill of Lading (Forwarder 2)</t>
  </si>
  <si>
    <t>Master Bill of Lading (Forwarder 3)</t>
  </si>
  <si>
    <t>Master Bill of Lading (Forwarder 4)</t>
  </si>
  <si>
    <t>Master Bill of Lading (Forwarder 5)</t>
  </si>
  <si>
    <t>Master Bill of Lading ERP</t>
  </si>
  <si>
    <t>Vessel Number</t>
  </si>
  <si>
    <t>Vessel Number ERP</t>
  </si>
  <si>
    <t>Vessel Number (Forwarder 1)</t>
  </si>
  <si>
    <t>Vessel Number (Forwarder 2)</t>
  </si>
  <si>
    <t>Vessel Number (Forwarder 3)</t>
  </si>
  <si>
    <t>Vessel Number (Forwarder 4)</t>
  </si>
  <si>
    <t>Vessel Number (Forwarder 5)</t>
  </si>
  <si>
    <t>Expected Port Date</t>
  </si>
  <si>
    <t>Expected Port Date ERP</t>
  </si>
  <si>
    <t>Expected Port Date (Forwarder 1)</t>
  </si>
  <si>
    <t>Expected Port Date (Forwarder 2)</t>
  </si>
  <si>
    <t>Expected Port Date (Forwarder 3)</t>
  </si>
  <si>
    <t>Expected Port Date (Forwarder 4)</t>
  </si>
  <si>
    <t>Expected Port Date (Forwarder 5)</t>
  </si>
  <si>
    <t>Actual Port Date</t>
  </si>
  <si>
    <t>Actual Port Date ERP</t>
  </si>
  <si>
    <t>Actual Port Date (Forwarder 1)</t>
  </si>
  <si>
    <t>Actual Port Date (Forwarder 2)</t>
  </si>
  <si>
    <t>Actual Port Date (Forwarder 3)</t>
  </si>
  <si>
    <t>Actual Port Date (Forwarder 4)</t>
  </si>
  <si>
    <t>Actual Port Date (Forwarder 5)</t>
  </si>
  <si>
    <t>Expected Delivery Date</t>
  </si>
  <si>
    <t>Expected Delivery Date ERP</t>
  </si>
  <si>
    <t>Expected Delivery Date (Forwarder 1)</t>
  </si>
  <si>
    <t>Expected Delivery Date (Forwarder 2)</t>
  </si>
  <si>
    <t>Expected Delivery Date (Forwarder 3)</t>
  </si>
  <si>
    <t>Expected Delivery Date (Forwarder 4)</t>
  </si>
  <si>
    <t>Expected Delivery Date (Forwarder 5)</t>
  </si>
  <si>
    <t>Last Free Day</t>
  </si>
  <si>
    <t>Last Free Day ERP</t>
  </si>
  <si>
    <t>Last Free Day (Forwarder 1)</t>
  </si>
  <si>
    <t>Last Free Day (Forwarder 2)</t>
  </si>
  <si>
    <t>Last Free Day (Forwarder 3)</t>
  </si>
  <si>
    <t>Last Free Day (Forwarder 4)</t>
  </si>
  <si>
    <t>Last Free Day (Forwarder 5)</t>
  </si>
  <si>
    <t>Drayage Date</t>
  </si>
  <si>
    <t>Drayage Date ERP</t>
  </si>
  <si>
    <t>Drayage Date (Forwarder 1)</t>
  </si>
  <si>
    <t>Drayage Date (Forwarder 2)</t>
  </si>
  <si>
    <t>Drayage Date (Forwarder 3)</t>
  </si>
  <si>
    <t>Drayage Date (Forwarder 4)</t>
  </si>
  <si>
    <t>Drayage Date (Forwarder 5)</t>
  </si>
  <si>
    <t>Appointment Date</t>
  </si>
  <si>
    <t>Appointment Date ERP</t>
  </si>
  <si>
    <t>Appointment Date (Forwarder 1)</t>
  </si>
  <si>
    <t>Appointment Date (Forwarder 2)</t>
  </si>
  <si>
    <t>Appointment Date (Forwarder 3)</t>
  </si>
  <si>
    <t>Appointment Date (Forwarder 4)</t>
  </si>
  <si>
    <t>Appointment Date (Forwarder 5)</t>
  </si>
  <si>
    <t>Actual Delivery Date</t>
  </si>
  <si>
    <t>Actual Delivery Date ERP</t>
  </si>
  <si>
    <t>Actual Delivery Date (Forwarder 1)</t>
  </si>
  <si>
    <t>Actual Delivery Date (Forwarder 2)</t>
  </si>
  <si>
    <t>Actual Delivery Date (Forwarder 3)</t>
  </si>
  <si>
    <t>Actual Delivery Date (Forwarder 4)</t>
  </si>
  <si>
    <t>Actual Delivery Date (Forwarder 5)</t>
  </si>
  <si>
    <t>Empty Ready Date</t>
  </si>
  <si>
    <t>Empty Ready Date ERP</t>
  </si>
  <si>
    <t>Empty Ready Date (Forwarder 1)</t>
  </si>
  <si>
    <t>Empty Ready Date (Forwarder 2)</t>
  </si>
  <si>
    <t>Empty Ready Date (Forwarder 3)</t>
  </si>
  <si>
    <t>Empty Ready Date (Forwarder 4)</t>
  </si>
  <si>
    <t>Empty Ready Date (Forwarder 5)</t>
  </si>
  <si>
    <t>Delivery Type</t>
  </si>
  <si>
    <t>Delivery Type ERP</t>
  </si>
  <si>
    <t>Delivery Type (Forwarder 1)</t>
  </si>
  <si>
    <t>Delivery Type (Forwarder 2)</t>
  </si>
  <si>
    <t>Delivery Type (Forwarder 3)</t>
  </si>
  <si>
    <t>Delivery Type (Forwarder 4)</t>
  </si>
  <si>
    <t>Delivery Type (Forwarder 5)</t>
  </si>
  <si>
    <t>Empty Pickup Date</t>
  </si>
  <si>
    <t>Empty Pickup Date ERP</t>
  </si>
  <si>
    <t>Empty Pickup Date (Forwarder 1)</t>
  </si>
  <si>
    <t>Empty Pickup Date (Forwarder 2)</t>
  </si>
  <si>
    <t>Empty Pickup Date (Forwarder 3)</t>
  </si>
  <si>
    <t>Empty Pickup Date (Forwarder 4)</t>
  </si>
  <si>
    <t>Empty Pickup Date (Forwarder 5)</t>
  </si>
  <si>
    <t>Empty Return Date</t>
  </si>
  <si>
    <t>Empty Return Date ERP</t>
  </si>
  <si>
    <t>Empty Return Date (Forwarder 1)</t>
  </si>
  <si>
    <t>Empty Return Date (Forwarder 2)</t>
  </si>
  <si>
    <t>Empty Return Date (Forwarder 3)</t>
  </si>
  <si>
    <t>Empty Return Date (Forwarder 4)</t>
  </si>
  <si>
    <t>Empty Return Date (Forwarder 5)</t>
  </si>
  <si>
    <t>Priority Level</t>
  </si>
  <si>
    <t>Source</t>
  </si>
  <si>
    <t>ERP</t>
  </si>
  <si>
    <t>The data the forwarders provide will have different column structures but we will make sure the header names are the same</t>
  </si>
  <si>
    <t>The unique ID value should be automatically generated by the solution by concatenating the Container Number and House Bill of Lading</t>
  </si>
  <si>
    <t>If we add new forwarders we should be able to easily add a new sheet and add their priority to the list and begin pulling data for them</t>
  </si>
  <si>
    <t>All dates must be in the format MM/DD/YY</t>
  </si>
  <si>
    <t>All irregular spacing should be removed from every cell (no leading or following spaces) prior to trying to match the unique ID value from the forwarder shet to the master sheet</t>
  </si>
  <si>
    <t>The flow of information will begin with us pasting in the export from the ERP into the ERP sheet</t>
  </si>
  <si>
    <t>We will then paste the information for each forwarder</t>
  </si>
  <si>
    <t>Upon a button click, all of the unique ID values should populate and the rows in the Master Sheet should be generated by using the data in the ERP sheet, following this the matching process should begin to pull over the data from each ERP sheet and then determining the final value based on the set priority</t>
  </si>
  <si>
    <t>If new forwarders are added, all of the columns required for that forwarder should be automatically added to the Master Sheet and ordered by priority level</t>
  </si>
  <si>
    <t>Field Priority Levels</t>
  </si>
  <si>
    <t>Source Priority Levels</t>
  </si>
  <si>
    <t>Priority can be set by two methods, at the Source Level and at the Field Level</t>
  </si>
  <si>
    <t>The solution should check the Field Level priority first, however, if there are no values in the Field Level it should use the default priority set at the Source Level</t>
  </si>
  <si>
    <t>The priority sheet will list out all of the data sources as well as all of the fields. The data sources should be used from here to automatically create the sheets and the fields should be used to create the columns on the sheets</t>
  </si>
  <si>
    <t>(The priority order here is the default value if the priority is not set at the field level below)</t>
  </si>
  <si>
    <t/>
  </si>
  <si>
    <t>SL</t>
  </si>
  <si>
    <t>Brief</t>
  </si>
  <si>
    <t>Description</t>
  </si>
  <si>
    <t>Create forwarder sheet</t>
  </si>
  <si>
    <t>Set Priority levels</t>
  </si>
  <si>
    <t>1. Set priority under Source Priority Levels or Column Priority Levels 
2. Note that Source Priority Levels is utilized if column priority level is blank for a column</t>
  </si>
  <si>
    <t>Add New Columns</t>
  </si>
  <si>
    <r>
      <t xml:space="preserve">1. New columns can be added under </t>
    </r>
    <r>
      <rPr>
        <b/>
        <sz val="12"/>
        <color theme="1"/>
        <rFont val="Calibri"/>
        <family val="2"/>
        <scheme val="minor"/>
      </rPr>
      <t>Column Priority Levels</t>
    </r>
    <r>
      <rPr>
        <sz val="12"/>
        <color theme="1"/>
        <rFont val="Calibri"/>
        <family val="2"/>
        <scheme val="minor"/>
      </rPr>
      <t xml:space="preserve"> section</t>
    </r>
  </si>
  <si>
    <t>Generate Master Sheet</t>
  </si>
  <si>
    <r>
      <t xml:space="preserve">1. Under the Source Priority Levels in Priority tab, Enter the new sheet name
2. Click on the button </t>
    </r>
    <r>
      <rPr>
        <b/>
        <sz val="12"/>
        <color theme="1"/>
        <rFont val="Calibri"/>
        <family val="2"/>
        <scheme val="minor"/>
      </rPr>
      <t xml:space="preserve">ReCreate Forwarder Sheets
</t>
    </r>
    <r>
      <rPr>
        <sz val="12"/>
        <color theme="1"/>
        <rFont val="Calibri"/>
        <family val="2"/>
        <scheme val="minor"/>
      </rPr>
      <t xml:space="preserve">3. CAUTION:- This will delete all the forwarder sheets and recreate them again(Forwarder sheets are identified by </t>
    </r>
    <r>
      <rPr>
        <b/>
        <sz val="12"/>
        <color theme="1"/>
        <rFont val="Calibri"/>
        <family val="2"/>
        <scheme val="minor"/>
      </rPr>
      <t>No Tab Color</t>
    </r>
    <r>
      <rPr>
        <sz val="12"/>
        <color theme="1"/>
        <rFont val="Calibri"/>
        <family val="2"/>
        <scheme val="minor"/>
      </rPr>
      <t xml:space="preserve">)
</t>
    </r>
    <r>
      <rPr>
        <b/>
        <sz val="12"/>
        <color theme="1"/>
        <rFont val="Calibri"/>
        <family val="2"/>
        <scheme val="minor"/>
      </rPr>
      <t>If its just one or two sheets, its advisable to create the sheets manually</t>
    </r>
  </si>
  <si>
    <t>1. After the above steps(As per need), you can import your data to respective tabs
2. Then click on Populate Master Sheet button to add the columns to master sheet as well as populate the data from various tabs to MasterSheet</t>
  </si>
  <si>
    <t>You mean ContainerNumber and House Bill Of Landing columns  right?</t>
  </si>
  <si>
    <t>5. Lastly, if the ERP field is the only data source for a field (none of the forwarders have any information on that field), then do NOT set the ERP value as the final field value. In this situation the final field value should be left blank so that we are not continuously reuploading the same ERP data over and over again. (This will just make the upload take longer unnecessarily) The only exception to the rule is in the expected delivery date field. If the only data available for the expected delivery date is in the ERP field and step 3 (above) applies to that entry then you should still add 10 days to that entry.</t>
  </si>
  <si>
    <t>1. All date fields should not have non-dates in them</t>
  </si>
  <si>
    <t>New Req - 21 Jan 2022</t>
  </si>
  <si>
    <t>2. Any leading or trailing spaces or odd symbols should be removed from all fields before transferring/aggregating them (ex. **10/20/2022?? Should be changed to 10/20/2022)</t>
  </si>
  <si>
    <t>3. If the final expected delivery date is in the past (before today), then add 10 to today's date and set that as the new final expected delivery date. If it is not in the past then leave the date as is.</t>
  </si>
  <si>
    <t>4. After data has been aggregated on the master sheet, If the aggregated appointment date column has a date then the expected delivery date for that entry should be replaced by the entered appointment date. (this step is done after step 3 on purpose so that even if an appointment date was in the past it will still show up as the expected delivery date)</t>
  </si>
  <si>
    <t>New Req - 22 Jan 2022</t>
  </si>
  <si>
    <t>1. Apart from the Expected Delivery Date, if final value is same as ERP, then final value should be blank</t>
  </si>
  <si>
    <t>Fix - 15-02-2022</t>
  </si>
  <si>
    <t>Fixed the issue that was related to New-Req 21 Jan 2022 #3</t>
  </si>
  <si>
    <t>New Req - 19-02-2022</t>
  </si>
  <si>
    <t>IF(Actual Port Date Exists AND Expected Delivery Date &lt; Actual Port Date, Expected Delivery Date = 10 + Actual Port Date, "")
IF(Actual Port Date Does NOT Exist AND Expected Port Date Exists AND Expected Delivery Date &lt; Expected Port Date, Expected Delivery Date = 10 + Expected Port Date, "")</t>
  </si>
  <si>
    <t>**Unique Key**</t>
  </si>
  <si>
    <t>Current Status</t>
  </si>
  <si>
    <t>Container Size</t>
  </si>
  <si>
    <t>Port of Loading</t>
  </si>
  <si>
    <t>Port of Discharge</t>
  </si>
  <si>
    <t>Last CY/CFS Location</t>
  </si>
  <si>
    <t>ETD</t>
  </si>
  <si>
    <t>Carrier</t>
  </si>
  <si>
    <t>Voyage</t>
  </si>
  <si>
    <t>New Req - 25-02-2022</t>
  </si>
  <si>
    <t>The new formula works but it only works on entries that are pulled/aggregated into the final master column (the green one). So the problem is that if we already have the expected/actual port dates in the ERP system they can still show up after the expected delivery date. I am thinking that there will need to be another if statement to defer to the ERP port date in the event that the master columns are blank for this check.</t>
  </si>
  <si>
    <t>PO No.</t>
  </si>
  <si>
    <t>ETA-Door Delivery Location</t>
  </si>
  <si>
    <t>Door Delivery Location</t>
  </si>
  <si>
    <t>Place of Receipt</t>
  </si>
  <si>
    <t>Shipper</t>
  </si>
  <si>
    <t>OEC Portal</t>
  </si>
  <si>
    <t>OEC Email</t>
  </si>
  <si>
    <t>House bill of Lading</t>
  </si>
  <si>
    <t>Last free day</t>
  </si>
  <si>
    <t>Drayage Provider</t>
  </si>
  <si>
    <t>PO#</t>
  </si>
  <si>
    <t>DEST RAMP</t>
  </si>
  <si>
    <t>IPI ON RAIL</t>
  </si>
  <si>
    <t>RAIL ATA</t>
  </si>
  <si>
    <t>RAIL LAST FREE DAY</t>
  </si>
  <si>
    <t>FINAL ATA</t>
  </si>
  <si>
    <t>Consignee</t>
  </si>
  <si>
    <t>Booking</t>
  </si>
  <si>
    <t>Voyage Number</t>
  </si>
  <si>
    <t>Last CY/CFS</t>
  </si>
  <si>
    <t>Estimated Ship Date</t>
  </si>
  <si>
    <t>Last Free Date</t>
  </si>
  <si>
    <t>Telex</t>
  </si>
  <si>
    <t>Gate In</t>
  </si>
  <si>
    <t>Topocean</t>
  </si>
  <si>
    <t>UNIS</t>
  </si>
  <si>
    <t>DO RECEIVE DATE</t>
  </si>
  <si>
    <t>ISSUED BY</t>
  </si>
  <si>
    <t>ACCOUNT</t>
  </si>
  <si>
    <t>SSL</t>
  </si>
  <si>
    <t>SIZE</t>
  </si>
  <si>
    <t>PORT</t>
  </si>
  <si>
    <t>APPT TIME@PORT</t>
  </si>
  <si>
    <t>DeliveryAppt.Time</t>
  </si>
  <si>
    <t>NOTES</t>
  </si>
  <si>
    <t>DELIVER TO</t>
  </si>
  <si>
    <t>Outage Date</t>
  </si>
  <si>
    <t>STATUS</t>
  </si>
  <si>
    <t>RETURNED LOCATION</t>
  </si>
  <si>
    <t>**Unique Key - Shipment Number**</t>
  </si>
  <si>
    <t>ONE ARCADIA</t>
  </si>
  <si>
    <t>Consol Carrier Place of Delivery</t>
  </si>
  <si>
    <t>Container Level PO Number</t>
  </si>
  <si>
    <t>Primary Customer Service name</t>
  </si>
  <si>
    <t>Pickup From Name</t>
  </si>
  <si>
    <t>Pickup From Address</t>
  </si>
  <si>
    <t>Pickup From City</t>
  </si>
  <si>
    <t>Pickup From State</t>
  </si>
  <si>
    <t>Departure CTO Code</t>
  </si>
  <si>
    <t>Departure CTO Name</t>
  </si>
  <si>
    <t>Departure CTO Address</t>
  </si>
  <si>
    <t>Departure CFS Code</t>
  </si>
  <si>
    <t>Departure CFS Name</t>
  </si>
  <si>
    <t>Departure CFS Address</t>
  </si>
  <si>
    <t>Pick Up Agent Code</t>
  </si>
  <si>
    <t>Pick Up Agent Name</t>
  </si>
  <si>
    <t>Delivery Agent Code</t>
  </si>
  <si>
    <t>Delivery Agent Name</t>
  </si>
  <si>
    <t>House Bill Release Details</t>
  </si>
  <si>
    <t>HBL Receive Date</t>
  </si>
  <si>
    <t>Payment Status</t>
  </si>
  <si>
    <t>Shipment Service Level Code</t>
  </si>
  <si>
    <t>Shipment Service Level Description</t>
  </si>
  <si>
    <t>Import Broker  Code</t>
  </si>
  <si>
    <t>Import Broker  Name</t>
  </si>
  <si>
    <t>Export  Broker  Code</t>
  </si>
  <si>
    <t>Export  Broker  Name</t>
  </si>
  <si>
    <t>Load Port Cutoff Date &amp; Time</t>
  </si>
  <si>
    <t>Arrival CTO Code</t>
  </si>
  <si>
    <t>Arrival CTO Name</t>
  </si>
  <si>
    <t>Arrival CTO Address</t>
  </si>
  <si>
    <t>Arrival CFS Code</t>
  </si>
  <si>
    <t>Arrival CFS Name</t>
  </si>
  <si>
    <t>Arrival CFS Address</t>
  </si>
  <si>
    <t>Transload</t>
  </si>
  <si>
    <t>Type</t>
  </si>
  <si>
    <t>TEU</t>
  </si>
  <si>
    <t>Empty Required By</t>
  </si>
  <si>
    <t>Empty Release No.</t>
  </si>
  <si>
    <t>Empty Released</t>
  </si>
  <si>
    <t>Pickup Port Trn. Advised</t>
  </si>
  <si>
    <t>Estimated Pickup</t>
  </si>
  <si>
    <t>Actual Pickup</t>
  </si>
  <si>
    <t>Dep. Slot Date</t>
  </si>
  <si>
    <t>Slot Booking Ref</t>
  </si>
  <si>
    <t>FCL Wharf Gate In</t>
  </si>
  <si>
    <t>FCL Loaded</t>
  </si>
  <si>
    <t>FCL Unload</t>
  </si>
  <si>
    <t>Available</t>
  </si>
  <si>
    <t>Storage Start</t>
  </si>
  <si>
    <t>Dlv. Cartage Advised</t>
  </si>
  <si>
    <t>Dest. Slot Date</t>
  </si>
  <si>
    <t>Wharf Gate Out</t>
  </si>
  <si>
    <t>Estimated Full Delivery</t>
  </si>
  <si>
    <t>Delivery Required</t>
  </si>
  <si>
    <t>Delivery Date</t>
  </si>
  <si>
    <t>Delivery Time</t>
  </si>
  <si>
    <t>Empty Return By</t>
  </si>
  <si>
    <t>Empty Ready for Return</t>
  </si>
  <si>
    <t>Empty Returned</t>
  </si>
  <si>
    <t>Import Release No.</t>
  </si>
  <si>
    <t>Shipment ID</t>
  </si>
  <si>
    <t>Trans</t>
  </si>
  <si>
    <t>Mode</t>
  </si>
  <si>
    <t>Consignee Name</t>
  </si>
  <si>
    <t>Shipper Name</t>
  </si>
  <si>
    <t>Carrier SCAC</t>
  </si>
  <si>
    <t>Carrier Name</t>
  </si>
  <si>
    <t>Origin Country</t>
  </si>
  <si>
    <t>Origin</t>
  </si>
  <si>
    <t>Origin Port</t>
  </si>
  <si>
    <t>First Load</t>
  </si>
  <si>
    <t>First Load Port</t>
  </si>
  <si>
    <t>Load Port</t>
  </si>
  <si>
    <t>Load Port Name</t>
  </si>
  <si>
    <t>Load ETD</t>
  </si>
  <si>
    <t>Load ATD</t>
  </si>
  <si>
    <t>Discharge Port</t>
  </si>
  <si>
    <t>Discharge Port Name</t>
  </si>
  <si>
    <t>Discharge ETA</t>
  </si>
  <si>
    <t>Discharge ATA</t>
  </si>
  <si>
    <t>Last Disch</t>
  </si>
  <si>
    <t>Last Disch Port</t>
  </si>
  <si>
    <t>Dest. Country</t>
  </si>
  <si>
    <t>Dest.</t>
  </si>
  <si>
    <t>Dest. Port Name</t>
  </si>
  <si>
    <t>Customs Release Date</t>
  </si>
  <si>
    <t>Pack Qty</t>
  </si>
  <si>
    <t>UQ</t>
  </si>
  <si>
    <t>Pack Weight</t>
  </si>
  <si>
    <t>Pack Volume</t>
  </si>
  <si>
    <t>Shippers Ref</t>
  </si>
  <si>
    <t>Cartage Company</t>
  </si>
  <si>
    <t>Cartage Company Name</t>
  </si>
  <si>
    <t>Goods Description</t>
  </si>
  <si>
    <t>Order No.</t>
  </si>
  <si>
    <t>Deliver To Name</t>
  </si>
  <si>
    <t>Deliver To Address</t>
  </si>
  <si>
    <t>Deliver To City</t>
  </si>
  <si>
    <t>Deliver To State</t>
  </si>
  <si>
    <t>CFS Available</t>
  </si>
  <si>
    <t>CFS Storage Starts</t>
  </si>
  <si>
    <t>Local Client Code</t>
  </si>
  <si>
    <t>Local Client Name</t>
  </si>
  <si>
    <t>Sending Agent Code</t>
  </si>
  <si>
    <t>Sending Agent Name</t>
  </si>
  <si>
    <t>Receiving Agent Code</t>
  </si>
  <si>
    <t>Receiving Agent Name</t>
  </si>
  <si>
    <t>Days from ETA to Availability</t>
  </si>
  <si>
    <t>Days to Return By Date</t>
  </si>
  <si>
    <t>Days past Empty Return Date</t>
  </si>
  <si>
    <t>Loaded on Rail</t>
  </si>
  <si>
    <t>Unloaded from Rail</t>
  </si>
  <si>
    <t>Notes - Client Visible Notes</t>
  </si>
  <si>
    <t>Lead/Master Shipment</t>
  </si>
  <si>
    <t>Last Container Milestone</t>
  </si>
  <si>
    <t>Last Container Milestone Date</t>
  </si>
  <si>
    <t>Last Shipment Milestone</t>
  </si>
  <si>
    <t>Last Shipment Milestone Date</t>
  </si>
  <si>
    <t>Commodity Code</t>
  </si>
  <si>
    <t>Commodity Description</t>
  </si>
  <si>
    <t>FIRMS Code</t>
  </si>
  <si>
    <t>Shipper Owned</t>
  </si>
  <si>
    <t>Direction</t>
  </si>
  <si>
    <t>OFQ</t>
  </si>
  <si>
    <t>Inv No</t>
  </si>
  <si>
    <t>Mother Vessel</t>
  </si>
  <si>
    <t>Actual Shipping Date</t>
  </si>
  <si>
    <t>Soma</t>
  </si>
  <si>
    <t>No</t>
  </si>
  <si>
    <t>File No.</t>
  </si>
  <si>
    <t>POD</t>
  </si>
  <si>
    <t>CY/CFS Location</t>
  </si>
  <si>
    <t>Final Destination</t>
  </si>
  <si>
    <t>Tanera Go</t>
  </si>
  <si>
    <t>Last Free Day Port</t>
  </si>
  <si>
    <t>Out Gate</t>
  </si>
  <si>
    <t>LFD Out Gate</t>
  </si>
  <si>
    <t>POL</t>
  </si>
  <si>
    <t>MBL’s CY Location</t>
  </si>
  <si>
    <t>D/O</t>
  </si>
  <si>
    <t>Remarks</t>
  </si>
  <si>
    <t>Expected Shipping Date</t>
  </si>
  <si>
    <t>Rail ETA</t>
  </si>
  <si>
    <t>Terminal Appointment</t>
  </si>
  <si>
    <t>Expected Last CY/CFS Date</t>
  </si>
  <si>
    <t>IDC</t>
  </si>
  <si>
    <t>Vendor Name</t>
  </si>
  <si>
    <t>Customer</t>
  </si>
  <si>
    <t>A/N Sent</t>
  </si>
  <si>
    <t>DO Sent</t>
  </si>
  <si>
    <t>PTP DO Sent</t>
  </si>
  <si>
    <t>CONTI CONQUEST</t>
  </si>
  <si>
    <t>ONE THESEUS</t>
  </si>
  <si>
    <t>Appointment Time</t>
  </si>
  <si>
    <t>Actual Final CY Date</t>
  </si>
  <si>
    <t>Harbour</t>
  </si>
  <si>
    <t>Delivery Location</t>
  </si>
  <si>
    <t>Move Type</t>
  </si>
  <si>
    <t xml:space="preserve"> </t>
  </si>
  <si>
    <t>ShipmentId</t>
  </si>
  <si>
    <t>Account No</t>
  </si>
  <si>
    <t>ReferenceNo</t>
  </si>
  <si>
    <t>BookingNo</t>
  </si>
  <si>
    <t>Booking Date</t>
  </si>
  <si>
    <t>ShipmentType</t>
  </si>
  <si>
    <t>PONo</t>
  </si>
  <si>
    <t>Container Type</t>
  </si>
  <si>
    <t>OriginPOL</t>
  </si>
  <si>
    <t>Transshipment Port 2</t>
  </si>
  <si>
    <t>TransshipmentPort2</t>
  </si>
  <si>
    <t>Place of Delivery</t>
  </si>
  <si>
    <t>Final Door Destination</t>
  </si>
  <si>
    <t>Feeder Vessel 1</t>
  </si>
  <si>
    <t>Feeder Vessel 2</t>
  </si>
  <si>
    <t>ETD Feeder Vessel 1</t>
  </si>
  <si>
    <t>ETD Feeder Vessel 2</t>
  </si>
  <si>
    <t>ETD Mother Vessel</t>
  </si>
  <si>
    <t>ETA From Feeder Vessel 1</t>
  </si>
  <si>
    <t>ETA From Feeder Vessel 2</t>
  </si>
  <si>
    <t>ETA Final Door Destination</t>
  </si>
  <si>
    <t>FullInGateAtOrigin</t>
  </si>
  <si>
    <t>ATD Feeder Vessel 1</t>
  </si>
  <si>
    <t>ATA Feeder Vessel 1</t>
  </si>
  <si>
    <t>ATD Feeder Vessel 2</t>
  </si>
  <si>
    <t>ATA Feeder Vessel 2</t>
  </si>
  <si>
    <t>ATD Mother Vessel</t>
  </si>
  <si>
    <t>ContainerDischargeFromPOD</t>
  </si>
  <si>
    <t>Available For Pickup</t>
  </si>
  <si>
    <t>OnRail</t>
  </si>
  <si>
    <t>OffRail</t>
  </si>
  <si>
    <t>Full Container Delivery</t>
  </si>
  <si>
    <t>ContractType</t>
  </si>
  <si>
    <t>1001408</t>
  </si>
  <si>
    <t>V046PTP</t>
  </si>
  <si>
    <t>MUMF67488800</t>
  </si>
  <si>
    <t>CY-CY</t>
  </si>
  <si>
    <t>OFQ1328</t>
  </si>
  <si>
    <t>TBD</t>
  </si>
  <si>
    <t>40HC</t>
  </si>
  <si>
    <t>ONE</t>
  </si>
  <si>
    <t>Prime Time Packaging</t>
  </si>
  <si>
    <t>Tejaswi Plastic Pvt Ltd</t>
  </si>
  <si>
    <t>Nhava Sheva</t>
  </si>
  <si>
    <t>Los Angeles</t>
  </si>
  <si>
    <t>NYK VESTA</t>
  </si>
  <si>
    <t>091E</t>
  </si>
  <si>
    <t>Gemini</t>
  </si>
  <si>
    <t>1001407</t>
  </si>
  <si>
    <t>MUMF67472800</t>
  </si>
  <si>
    <t>OFQ1326</t>
  </si>
  <si>
    <t>TRHU7719443</t>
  </si>
  <si>
    <t>1001406</t>
  </si>
  <si>
    <t>AMDF09651500</t>
  </si>
  <si>
    <t>OFQ1317</t>
  </si>
  <si>
    <t>ONEYAMDF09651500</t>
  </si>
  <si>
    <t>TCLU9271871</t>
  </si>
  <si>
    <t xml:space="preserve"> PARAS WEBCOAT PVT LTD</t>
  </si>
  <si>
    <t>Pipavav (Victor) Port</t>
  </si>
  <si>
    <t>073E</t>
  </si>
  <si>
    <t>Constellation</t>
  </si>
  <si>
    <t>1001405</t>
  </si>
  <si>
    <t>TCLU9461188</t>
  </si>
  <si>
    <t>1001404</t>
  </si>
  <si>
    <t>AMDF09651501</t>
  </si>
  <si>
    <t>OFQ1311</t>
  </si>
  <si>
    <t>ONEYAMDF09651501</t>
  </si>
  <si>
    <t>ONEU1953786</t>
  </si>
  <si>
    <t>1001403</t>
  </si>
  <si>
    <t>TCLU9886310</t>
  </si>
  <si>
    <t>1001402</t>
  </si>
  <si>
    <t>AMDF09639400</t>
  </si>
  <si>
    <t>OFQ1289</t>
  </si>
  <si>
    <t>ONEYAMDF09639400</t>
  </si>
  <si>
    <t>ONEU6328077</t>
  </si>
  <si>
    <t>1001401</t>
  </si>
  <si>
    <t>TCLU9892966</t>
  </si>
  <si>
    <t>1001341</t>
  </si>
  <si>
    <t>MUMF63116600</t>
  </si>
  <si>
    <t>OFQ1288</t>
  </si>
  <si>
    <t>ONEYMUMF66649600</t>
  </si>
  <si>
    <t>FDCU0380195</t>
  </si>
  <si>
    <t>PARAS WEBCOAT PVT LTD</t>
  </si>
  <si>
    <t>Savannah</t>
  </si>
  <si>
    <t>Atlanta</t>
  </si>
  <si>
    <t>092E</t>
  </si>
  <si>
    <t>1001340</t>
  </si>
  <si>
    <t>AMDF08945300</t>
  </si>
  <si>
    <t>OFQ1296,OFQ1297,OFQ1</t>
  </si>
  <si>
    <t>ONEYAMDF08945300</t>
  </si>
  <si>
    <t>SEGU4075434</t>
  </si>
  <si>
    <t>Colombo</t>
  </si>
  <si>
    <t>032E</t>
  </si>
  <si>
    <t>1001339</t>
  </si>
  <si>
    <t>TCLU8566179</t>
  </si>
  <si>
    <t>1001338</t>
  </si>
  <si>
    <t>TGBU4409646</t>
  </si>
  <si>
    <t>1001337</t>
  </si>
  <si>
    <t>SEGU4053780</t>
  </si>
  <si>
    <t>1001336</t>
  </si>
  <si>
    <t>NYKU5152258</t>
  </si>
  <si>
    <t>1001259</t>
  </si>
  <si>
    <t>M2305188G</t>
  </si>
  <si>
    <t>BKKFQ0726500</t>
  </si>
  <si>
    <t>CY-RAMP</t>
  </si>
  <si>
    <t>154369</t>
  </si>
  <si>
    <t>ONEYBKKFQ0726500</t>
  </si>
  <si>
    <t>TEMU7493584</t>
  </si>
  <si>
    <t>PRIMETIME PACKAGING</t>
  </si>
  <si>
    <t>ECO PAPER PACKAGING (THAILAND) CO., LTD</t>
  </si>
  <si>
    <t>Laem Chabang</t>
  </si>
  <si>
    <t>Tacoma</t>
  </si>
  <si>
    <t>Cincinnati</t>
  </si>
  <si>
    <t xml:space="preserve">SEASPAN BEYOND </t>
  </si>
  <si>
    <t>436E</t>
  </si>
  <si>
    <t>GEMINI</t>
  </si>
  <si>
    <t>1001067</t>
  </si>
  <si>
    <t>M2304780G</t>
  </si>
  <si>
    <t>100FX09847</t>
  </si>
  <si>
    <t>PO154300</t>
  </si>
  <si>
    <t>WHLC100FX09847</t>
  </si>
  <si>
    <t>WHSU5224782</t>
  </si>
  <si>
    <t>Wan_Hai</t>
  </si>
  <si>
    <t>GOLDSUN PACKAGING AND PRINTING JSC</t>
  </si>
  <si>
    <t>Haiphong</t>
  </si>
  <si>
    <t>Shekou</t>
  </si>
  <si>
    <t>New York</t>
  </si>
  <si>
    <t>WAN HAI 367 V.W020</t>
  </si>
  <si>
    <t>CORCOVADO</t>
  </si>
  <si>
    <t>E525</t>
  </si>
  <si>
    <t>1001068</t>
  </si>
  <si>
    <t>WHSU5534725</t>
  </si>
  <si>
    <t>1001069</t>
  </si>
  <si>
    <t>M2304779G</t>
  </si>
  <si>
    <t>100FX09848</t>
  </si>
  <si>
    <t>WHLC100FX09848</t>
  </si>
  <si>
    <t>WHSU6069546</t>
  </si>
  <si>
    <t>EVER CERTAIN V.N062</t>
  </si>
  <si>
    <t>TUBUL</t>
  </si>
  <si>
    <t>E506</t>
  </si>
  <si>
    <t>1001070</t>
  </si>
  <si>
    <t>WHSU6319326</t>
  </si>
  <si>
    <t>1001071</t>
  </si>
  <si>
    <t>WHLC100FA00668</t>
  </si>
  <si>
    <t>CAAU7998749</t>
  </si>
  <si>
    <t>1001072</t>
  </si>
  <si>
    <t>WHSU5800569</t>
  </si>
  <si>
    <t>1001073</t>
  </si>
  <si>
    <t>WHLC100FA00669</t>
  </si>
  <si>
    <t>WHSU5503494</t>
  </si>
  <si>
    <t>1001074</t>
  </si>
  <si>
    <t>WHSU5970884</t>
  </si>
  <si>
    <t>BluVoyix</t>
  </si>
  <si>
    <t>Outgate at POD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</si>
</sst>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6"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u/>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8"/>
      <name val="Arial"/>
      <family val="2"/>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sz val="12"/>
      <color theme="0"/>
      <name val="Calibri"/>
      <family val="2"/>
      <scheme val="minor"/>
    </font>
    <font>
      <sz val="12"/>
      <name val="Calibri"/>
      <family val="2"/>
    </font>
    <font>
      <sz val="10"/>
      <color rgb="FF000000"/>
      <name val="Arial"/>
      <family val="2"/>
    </font>
    <font>
      <u/>
      <sz val="11"/>
      <color theme="10"/>
      <name val="Calibri"/>
      <family val="2"/>
      <scheme val="minor"/>
    </font>
    <font>
      <sz val="8"/>
      <name val="Arial"/>
      <family val="2"/>
    </font>
    <font>
      <sz val="11"/>
      <name val="Calibri"/>
      <family val="2"/>
      <scheme val="minor"/>
    </font>
    <font>
      <sz val="10"/>
      <color theme="1"/>
      <name val="Arial"/>
      <family val="2"/>
    </font>
    <font>
      <b/>
      <sz val="9"/>
      <color rgb="FF111111"/>
      <name val="Arial"/>
      <family val="2"/>
    </font>
    <font>
      <sz val="12"/>
      <name val="Calibri"/>
      <family val="2"/>
      <scheme val="minor"/>
    </font>
    <font>
      <b/>
      <sz val="7"/>
      <name val="Arial"/>
      <family val="2"/>
    </font>
    <font>
      <sz val="12"/>
      <color rgb="FF000000"/>
      <name val="Calibri"/>
      <family val="2"/>
      <scheme val="minor"/>
    </font>
    <font>
      <sz val="10"/>
      <name val="Arial"/>
      <family val="2"/>
    </font>
    <font>
      <sz val="11"/>
      <color indexed="8"/>
      <name val="Calibri"/>
      <family val="2"/>
      <scheme val="minor"/>
    </font>
    <font>
      <b/>
      <sz val="12"/>
      <color theme="1"/>
      <name val="Calibri"/>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D0D0D0"/>
        <bgColor indexed="64"/>
      </patternFill>
    </fill>
    <fill>
      <patternFill patternType="solid">
        <fgColor rgb="FFE9E9E9"/>
        <bgColor rgb="FFE9E9E9"/>
      </patternFill>
    </fill>
    <fill>
      <patternFill patternType="solid">
        <fgColor theme="2"/>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indexed="64"/>
      </left>
      <right style="thin">
        <color indexed="64"/>
      </right>
      <top style="thin">
        <color indexed="64"/>
      </top>
      <bottom style="thin">
        <color indexed="64"/>
      </bottom>
      <diagonal/>
    </border>
  </borders>
  <cellStyleXfs count="53">
    <xf numFmtId="0" fontId="0" fillId="0" borderId="0"/>
    <xf numFmtId="0" fontId="7" fillId="0" borderId="0" applyNumberFormat="0" applyFill="0" applyBorder="0" applyAlignment="0" applyProtection="0"/>
    <xf numFmtId="0" fontId="8" fillId="0" borderId="1" applyNumberFormat="0" applyFill="0" applyAlignment="0" applyProtection="0"/>
    <xf numFmtId="0" fontId="9" fillId="0" borderId="2" applyNumberFormat="0" applyFill="0" applyAlignment="0" applyProtection="0"/>
    <xf numFmtId="0" fontId="10" fillId="0" borderId="3" applyNumberFormat="0" applyFill="0" applyAlignment="0" applyProtection="0"/>
    <xf numFmtId="0" fontId="10" fillId="0" borderId="0" applyNumberFormat="0" applyFill="0" applyBorder="0" applyAlignment="0" applyProtection="0"/>
    <xf numFmtId="0" fontId="6" fillId="8" borderId="8" applyNumberFormat="0" applyFont="0" applyAlignment="0" applyProtection="0"/>
    <xf numFmtId="0" fontId="12" fillId="0" borderId="0"/>
    <xf numFmtId="0" fontId="23" fillId="0" borderId="0"/>
    <xf numFmtId="0" fontId="11" fillId="2" borderId="0" applyNumberFormat="0" applyBorder="0" applyAlignment="0" applyProtection="0"/>
    <xf numFmtId="0" fontId="13" fillId="3" borderId="0" applyNumberFormat="0" applyBorder="0" applyAlignment="0" applyProtection="0"/>
    <xf numFmtId="0" fontId="14" fillId="4" borderId="0" applyNumberFormat="0" applyBorder="0" applyAlignment="0" applyProtection="0"/>
    <xf numFmtId="0" fontId="15" fillId="5" borderId="4" applyNumberFormat="0" applyAlignment="0" applyProtection="0"/>
    <xf numFmtId="0" fontId="16" fillId="6" borderId="5" applyNumberFormat="0" applyAlignment="0" applyProtection="0"/>
    <xf numFmtId="0" fontId="17" fillId="6" borderId="4" applyNumberFormat="0" applyAlignment="0" applyProtection="0"/>
    <xf numFmtId="0" fontId="18" fillId="0" borderId="6" applyNumberFormat="0" applyFill="0" applyAlignment="0" applyProtection="0"/>
    <xf numFmtId="0" fontId="19" fillId="7" borderId="7" applyNumberFormat="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4" fillId="0" borderId="9" applyNumberFormat="0" applyFill="0" applyAlignment="0" applyProtection="0"/>
    <xf numFmtId="0" fontId="22" fillId="9" borderId="0" applyNumberFormat="0" applyBorder="0" applyAlignment="0" applyProtection="0"/>
    <xf numFmtId="0" fontId="6" fillId="10" borderId="0" applyNumberFormat="0" applyBorder="0" applyAlignment="0" applyProtection="0"/>
    <xf numFmtId="0" fontId="6" fillId="11" borderId="0" applyNumberFormat="0" applyBorder="0" applyAlignment="0" applyProtection="0"/>
    <xf numFmtId="0" fontId="6" fillId="12" borderId="0" applyNumberFormat="0" applyBorder="0" applyAlignment="0" applyProtection="0"/>
    <xf numFmtId="0" fontId="22" fillId="13" borderId="0" applyNumberFormat="0" applyBorder="0" applyAlignment="0" applyProtection="0"/>
    <xf numFmtId="0" fontId="6" fillId="14" borderId="0" applyNumberFormat="0" applyBorder="0" applyAlignment="0" applyProtection="0"/>
    <xf numFmtId="0" fontId="6" fillId="15" borderId="0" applyNumberFormat="0" applyBorder="0" applyAlignment="0" applyProtection="0"/>
    <xf numFmtId="0" fontId="6" fillId="16" borderId="0" applyNumberFormat="0" applyBorder="0" applyAlignment="0" applyProtection="0"/>
    <xf numFmtId="0" fontId="22" fillId="17" borderId="0" applyNumberFormat="0" applyBorder="0" applyAlignment="0" applyProtection="0"/>
    <xf numFmtId="0" fontId="6" fillId="18" borderId="0" applyNumberFormat="0" applyBorder="0" applyAlignment="0" applyProtection="0"/>
    <xf numFmtId="0" fontId="6" fillId="19" borderId="0" applyNumberFormat="0" applyBorder="0" applyAlignment="0" applyProtection="0"/>
    <xf numFmtId="0" fontId="6" fillId="20" borderId="0" applyNumberFormat="0" applyBorder="0" applyAlignment="0" applyProtection="0"/>
    <xf numFmtId="0" fontId="22" fillId="21" borderId="0" applyNumberFormat="0" applyBorder="0" applyAlignment="0" applyProtection="0"/>
    <xf numFmtId="0" fontId="6" fillId="22" borderId="0" applyNumberFormat="0" applyBorder="0" applyAlignment="0" applyProtection="0"/>
    <xf numFmtId="0" fontId="6" fillId="23" borderId="0" applyNumberFormat="0" applyBorder="0" applyAlignment="0" applyProtection="0"/>
    <xf numFmtId="0" fontId="6" fillId="24" borderId="0" applyNumberFormat="0" applyBorder="0" applyAlignment="0" applyProtection="0"/>
    <xf numFmtId="0" fontId="22" fillId="25" borderId="0" applyNumberFormat="0" applyBorder="0" applyAlignment="0" applyProtection="0"/>
    <xf numFmtId="0" fontId="6" fillId="26" borderId="0" applyNumberFormat="0" applyBorder="0" applyAlignment="0" applyProtection="0"/>
    <xf numFmtId="0" fontId="6" fillId="27" borderId="0" applyNumberFormat="0" applyBorder="0" applyAlignment="0" applyProtection="0"/>
    <xf numFmtId="0" fontId="6" fillId="28" borderId="0" applyNumberFormat="0" applyBorder="0" applyAlignment="0" applyProtection="0"/>
    <xf numFmtId="0" fontId="22" fillId="29" borderId="0" applyNumberFormat="0" applyBorder="0" applyAlignment="0" applyProtection="0"/>
    <xf numFmtId="0" fontId="6" fillId="30" borderId="0" applyNumberFormat="0" applyBorder="0" applyAlignment="0" applyProtection="0"/>
    <xf numFmtId="0" fontId="6" fillId="31" borderId="0" applyNumberFormat="0" applyBorder="0" applyAlignment="0" applyProtection="0"/>
    <xf numFmtId="0" fontId="6" fillId="32" borderId="0" applyNumberFormat="0" applyBorder="0" applyAlignment="0" applyProtection="0"/>
    <xf numFmtId="0" fontId="24" fillId="0" borderId="0"/>
    <xf numFmtId="0" fontId="3" fillId="0" borderId="0"/>
    <xf numFmtId="0" fontId="25" fillId="0" borderId="0" applyNumberFormat="0" applyFill="0" applyBorder="0" applyAlignment="0" applyProtection="0"/>
    <xf numFmtId="0" fontId="26" fillId="0" borderId="0"/>
    <xf numFmtId="0" fontId="12" fillId="0" borderId="0"/>
    <xf numFmtId="0" fontId="2" fillId="0" borderId="0"/>
    <xf numFmtId="0" fontId="1" fillId="0" borderId="0"/>
    <xf numFmtId="0" fontId="33" fillId="0" borderId="0"/>
    <xf numFmtId="0" fontId="34" fillId="0" borderId="0"/>
  </cellStyleXfs>
  <cellXfs count="25">
    <xf numFmtId="0" fontId="0" fillId="0" borderId="0" xfId="0"/>
    <xf numFmtId="0" fontId="4" fillId="0" borderId="0" xfId="0" applyFont="1"/>
    <xf numFmtId="0" fontId="0" fillId="0" borderId="0" xfId="0" applyAlignment="1">
      <alignment wrapText="1"/>
    </xf>
    <xf numFmtId="0" fontId="5" fillId="0" borderId="0" xfId="0" applyFont="1"/>
    <xf numFmtId="0" fontId="0" fillId="33" borderId="0" xfId="0" applyFill="1" applyAlignment="1">
      <alignment wrapText="1"/>
    </xf>
    <xf numFmtId="0" fontId="27" fillId="0" borderId="0" xfId="0" applyFont="1" applyAlignment="1">
      <alignment horizontal="left"/>
    </xf>
    <xf numFmtId="0" fontId="4" fillId="0" borderId="0" xfId="0" applyFont="1" applyAlignment="1">
      <alignment wrapText="1"/>
    </xf>
    <xf numFmtId="0" fontId="29" fillId="35" borderId="10" xfId="0" applyFont="1" applyFill="1" applyBorder="1" applyAlignment="1">
      <alignment horizontal="left" vertical="center"/>
    </xf>
    <xf numFmtId="14" fontId="29" fillId="35" borderId="10" xfId="0" applyNumberFormat="1" applyFont="1" applyFill="1" applyBorder="1" applyAlignment="1">
      <alignment horizontal="left" vertical="center"/>
    </xf>
    <xf numFmtId="0" fontId="28" fillId="0" borderId="0" xfId="0" applyFont="1"/>
    <xf numFmtId="0" fontId="31" fillId="34" borderId="0" xfId="0" applyFont="1" applyFill="1" applyAlignment="1">
      <alignment horizontal="center"/>
    </xf>
    <xf numFmtId="0" fontId="4" fillId="36" borderId="11" xfId="0" applyFont="1" applyFill="1" applyBorder="1" applyAlignment="1">
      <alignment horizontal="center" vertical="center"/>
    </xf>
    <xf numFmtId="0" fontId="30" fillId="36" borderId="11" xfId="0" applyFont="1" applyFill="1" applyBorder="1" applyAlignment="1">
      <alignment horizontal="center" vertical="center"/>
    </xf>
    <xf numFmtId="14" fontId="4" fillId="36" borderId="11" xfId="0" applyNumberFormat="1" applyFont="1" applyFill="1" applyBorder="1" applyAlignment="1">
      <alignment horizontal="center" vertical="center"/>
    </xf>
    <xf numFmtId="14" fontId="0" fillId="0" borderId="0" xfId="0" applyNumberFormat="1"/>
    <xf numFmtId="1" fontId="0" fillId="0" borderId="0" xfId="0" applyNumberFormat="1"/>
    <xf numFmtId="0" fontId="32" fillId="0" borderId="0" xfId="0" applyFont="1"/>
    <xf numFmtId="14" fontId="31" fillId="34" borderId="0" xfId="0" applyNumberFormat="1" applyFont="1" applyFill="1" applyAlignment="1">
      <alignment horizontal="center"/>
    </xf>
    <xf numFmtId="15" fontId="0" fillId="0" borderId="0" xfId="0" applyNumberFormat="1"/>
    <xf numFmtId="22" fontId="0" fillId="0" borderId="0" xfId="0" applyNumberFormat="1"/>
    <xf numFmtId="0" fontId="0" fillId="0" borderId="0" xfId="0" applyAlignment="1">
      <alignment horizontal="center" vertical="center"/>
    </xf>
    <xf numFmtId="0" fontId="0" fillId="0" borderId="0" xfId="0" applyAlignment="1">
      <alignment horizontal="left"/>
    </xf>
    <xf numFmtId="14" fontId="0" fillId="0" borderId="0" xfId="0" applyNumberFormat="1" applyAlignment="1">
      <alignment horizontal="center" vertical="center"/>
    </xf>
    <xf numFmtId="14" fontId="28" fillId="0" borderId="0" xfId="0" applyNumberFormat="1" applyFont="1"/>
    <xf numFmtId="0" fontId="35" fillId="0" borderId="11" xfId="0" applyFont="1" applyBorder="1"/>
  </cellXfs>
  <cellStyles count="53">
    <cellStyle name="20% - Accent1 2" xfId="21" xr:uid="{FAD38B6F-5283-437D-BE71-06247092D066}"/>
    <cellStyle name="20% - Accent2 2" xfId="25" xr:uid="{E44A4304-D5DA-4E37-9F83-2836B05E52DA}"/>
    <cellStyle name="20% - Accent3 2" xfId="29" xr:uid="{C3DC73E8-5E68-415F-8D1F-06E9629C2DD1}"/>
    <cellStyle name="20% - Accent4 2" xfId="33" xr:uid="{B437A57F-5048-4675-B5F7-A5038E134529}"/>
    <cellStyle name="20% - Accent5 2" xfId="37" xr:uid="{5900B08C-C468-4FC9-8C4F-05BC96C92E2D}"/>
    <cellStyle name="20% - Accent6 2" xfId="41" xr:uid="{3BA9AF4B-6758-47E1-99C7-CCF2BECB164F}"/>
    <cellStyle name="40% - Accent1 2" xfId="22" xr:uid="{43199D58-535F-4416-87A1-5797CC45D81D}"/>
    <cellStyle name="40% - Accent2 2" xfId="26" xr:uid="{431E284B-0DD2-492C-9063-173CE99377A9}"/>
    <cellStyle name="40% - Accent3 2" xfId="30" xr:uid="{8F2D2827-FF10-47A5-998A-9B0DCE89A936}"/>
    <cellStyle name="40% - Accent4 2" xfId="34" xr:uid="{8CCD4776-D4E1-4351-8B35-36BE7538354B}"/>
    <cellStyle name="40% - Accent5 2" xfId="38" xr:uid="{24C9DDAC-FC7E-4246-AA9C-D4A88589FDAD}"/>
    <cellStyle name="40% - Accent6 2" xfId="42" xr:uid="{AF19F475-EC40-46E3-ADA0-66EFE7DC0D01}"/>
    <cellStyle name="60% - Accent1 2" xfId="23" xr:uid="{D34657D3-7952-4C44-A762-326963A2606A}"/>
    <cellStyle name="60% - Accent2 2" xfId="27" xr:uid="{C44343CD-1451-4581-A85F-603E329E388D}"/>
    <cellStyle name="60% - Accent3 2" xfId="31" xr:uid="{5E94F33E-98C9-4255-9BBA-4B8D55575367}"/>
    <cellStyle name="60% - Accent4 2" xfId="35" xr:uid="{A78FE59B-E87D-48CB-93AA-ADEAB861CA74}"/>
    <cellStyle name="60% - Accent5 2" xfId="39" xr:uid="{AE8D780D-BA40-44A4-BDCA-EFD5FBF36367}"/>
    <cellStyle name="60% - Accent6 2" xfId="43" xr:uid="{0EF47F72-A927-4B4B-A626-F2425EBF8C70}"/>
    <cellStyle name="Accent1 2" xfId="20" xr:uid="{45BC2507-CAAF-4F16-9D45-04EAC61AB182}"/>
    <cellStyle name="Accent2 2" xfId="24" xr:uid="{30FD8B7F-8E4C-4932-8637-D16CB67D2F14}"/>
    <cellStyle name="Accent3 2" xfId="28" xr:uid="{F7B3EEAA-C1B8-41CB-8BC8-B416F50CACE4}"/>
    <cellStyle name="Accent4 2" xfId="32" xr:uid="{24B3C452-6691-4DC3-932A-2FA94944F04D}"/>
    <cellStyle name="Accent5 2" xfId="36" xr:uid="{2FBF91F6-8374-471A-92B7-E1DAB822D858}"/>
    <cellStyle name="Accent6 2" xfId="40" xr:uid="{A14D29B2-5C83-4A63-9E14-224B447E097D}"/>
    <cellStyle name="Bad 2" xfId="10" xr:uid="{3B6495B5-EE06-4FE1-8C2A-8579C9CFFDBC}"/>
    <cellStyle name="Calculation 2" xfId="14" xr:uid="{C4639190-2AEB-44C6-BB73-84425F95D5B0}"/>
    <cellStyle name="Check Cell 2" xfId="16" xr:uid="{45D27083-6BC3-460F-B45A-F9743DB5D381}"/>
    <cellStyle name="Explanatory Text 2" xfId="18" xr:uid="{7759A48B-E53A-467E-99E4-24FC444E461C}"/>
    <cellStyle name="Good 2" xfId="9" xr:uid="{F1C58345-E9B5-4C76-99A8-60FD0643A148}"/>
    <cellStyle name="Heading 1" xfId="2" builtinId="16" customBuiltin="1"/>
    <cellStyle name="Heading 2" xfId="3" builtinId="17" customBuiltin="1"/>
    <cellStyle name="Heading 3" xfId="4" builtinId="18" customBuiltin="1"/>
    <cellStyle name="Heading 4" xfId="5" builtinId="19" customBuiltin="1"/>
    <cellStyle name="Hyperlink 2" xfId="46" xr:uid="{28B5715F-1C33-4CFF-BA32-ED93F0192AB5}"/>
    <cellStyle name="Input 2" xfId="12" xr:uid="{47E353AF-FF9E-4300-8283-C06CD6A0D731}"/>
    <cellStyle name="Linked Cell 2" xfId="15" xr:uid="{CDE93040-EC49-4554-993F-8CD81FA915EB}"/>
    <cellStyle name="Neutral 2" xfId="11" xr:uid="{0663CFD7-AE5F-4996-997B-365B61C89B47}"/>
    <cellStyle name="Normal" xfId="0" builtinId="0"/>
    <cellStyle name="Normal 2" xfId="7" xr:uid="{55423E3F-3C51-4586-AABA-202F8997CA20}"/>
    <cellStyle name="Normal 3" xfId="8" xr:uid="{952ABDA8-8DA9-4F41-A885-3FB8389B9E10}"/>
    <cellStyle name="Normal 4" xfId="44" xr:uid="{C2C1A6F4-A83A-4109-AF86-91718B6031C1}"/>
    <cellStyle name="Normal 5" xfId="45" xr:uid="{32082953-01DF-4601-BD02-B5FD511B0EE2}"/>
    <cellStyle name="Normal 5 2" xfId="49" xr:uid="{6E35C0B3-0FDE-4DCB-8654-9DF91E08F242}"/>
    <cellStyle name="Normal 5 2 2" xfId="50" xr:uid="{8EA2CD1E-98DF-4432-9DF1-9E87BDE43811}"/>
    <cellStyle name="Normal 6" xfId="47" xr:uid="{CFAADAE8-1801-4A8A-A888-C451102F17CE}"/>
    <cellStyle name="Normal 6 2" xfId="48" xr:uid="{1C69C1B7-08A9-4B8E-B6B3-BC9C30F5D6D0}"/>
    <cellStyle name="Normal 7" xfId="51" xr:uid="{8E009D7D-C888-41D4-A133-599E6CD7BDE2}"/>
    <cellStyle name="Normal 8" xfId="52" xr:uid="{FFF3D0EE-CD2F-4CCD-9A70-AA69A8902A81}"/>
    <cellStyle name="Note" xfId="6" builtinId="10" customBuiltin="1"/>
    <cellStyle name="Output 2" xfId="13" xr:uid="{F5D7C552-20BC-4771-B8FB-BB36C7884727}"/>
    <cellStyle name="Title" xfId="1" builtinId="15" customBuiltin="1"/>
    <cellStyle name="Total 2" xfId="19" xr:uid="{C31AEF19-AC3D-4B3A-8E37-2CEE9C13BF53}"/>
    <cellStyle name="Warning Text 2" xfId="17" xr:uid="{888A5D48-D866-4C48-A499-E2F42B668D45}"/>
  </cellStyles>
  <dxfs count="4">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dr:twoCellAnchor>
    <xdr:from>
      <xdr:col>3</xdr:col>
      <xdr:colOff>1085850</xdr:colOff>
      <xdr:row>2</xdr:row>
      <xdr:rowOff>47625</xdr:rowOff>
    </xdr:from>
    <xdr:to>
      <xdr:col>5</xdr:col>
      <xdr:colOff>476250</xdr:colOff>
      <xdr:row>3</xdr:row>
      <xdr:rowOff>123825</xdr:rowOff>
    </xdr:to>
    <xdr:sp macro="" textlink="">
      <xdr:nvSpPr>
        <xdr:cNvPr id="2" name="Rectangle: Rounded Corners 1">
          <a:extLst>
            <a:ext uri="{FF2B5EF4-FFF2-40B4-BE49-F238E27FC236}">
              <a16:creationId xmlns:a16="http://schemas.microsoft.com/office/drawing/2014/main" id="{0AAB261E-67F1-434F-8B17-B33BD1B5CC6A}"/>
            </a:ext>
          </a:extLst>
        </xdr:cNvPr>
        <xdr:cNvSpPr/>
      </xdr:nvSpPr>
      <xdr:spPr>
        <a:xfrm>
          <a:off x="5095875" y="447675"/>
          <a:ext cx="1809750" cy="276225"/>
        </a:xfrm>
        <a:prstGeom prst="round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l"/>
          <a:r>
            <a:rPr lang="en-IN" sz="1100"/>
            <a:t>ReCreate Forwarder Sheets</a:t>
          </a:r>
        </a:p>
      </xdr:txBody>
    </xdr:sp>
    <xdr:clientData/>
  </xdr:twoCellAnchor>
  <xdr:twoCellAnchor>
    <xdr:from>
      <xdr:col>1</xdr:col>
      <xdr:colOff>952500</xdr:colOff>
      <xdr:row>19</xdr:row>
      <xdr:rowOff>114300</xdr:rowOff>
    </xdr:from>
    <xdr:to>
      <xdr:col>2</xdr:col>
      <xdr:colOff>1009650</xdr:colOff>
      <xdr:row>20</xdr:row>
      <xdr:rowOff>190500</xdr:rowOff>
    </xdr:to>
    <xdr:sp macro="[0]!main" textlink="">
      <xdr:nvSpPr>
        <xdr:cNvPr id="3" name="Rectangle: Rounded Corners 2">
          <a:extLst>
            <a:ext uri="{FF2B5EF4-FFF2-40B4-BE49-F238E27FC236}">
              <a16:creationId xmlns:a16="http://schemas.microsoft.com/office/drawing/2014/main" id="{1AE3B636-09C5-491F-92BC-AEE8536CF578}"/>
            </a:ext>
          </a:extLst>
        </xdr:cNvPr>
        <xdr:cNvSpPr/>
      </xdr:nvSpPr>
      <xdr:spPr>
        <a:xfrm>
          <a:off x="2447925" y="3714750"/>
          <a:ext cx="1533525" cy="276225"/>
        </a:xfrm>
        <a:prstGeom prst="round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l"/>
          <a:r>
            <a:rPr lang="en-IN" sz="1100"/>
            <a:t>Populate MasterSheet</a:t>
          </a:r>
        </a:p>
        <a:p>
          <a:pPr algn="l"/>
          <a:endParaRPr lang="en-IN" sz="1100"/>
        </a:p>
      </xdr:txBody>
    </xdr: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2A913E-60B8-4226-A02C-1A32B496FE56}">
  <sheetPr codeName="shtMaster1">
    <tabColor rgb="FF000000"/>
  </sheetPr>
  <dimension ref="A1:CU2"/>
  <sheetViews>
    <sheetView topLeftCell="D1" workbookViewId="0">
      <selection activeCell="B2" sqref="B2"/>
    </sheetView>
  </sheetViews>
  <sheetFormatPr defaultColWidth="11" defaultRowHeight="15.75" x14ac:dyDescent="0.25"/>
  <cols>
    <col min="1" max="1" width="9.875" bestFit="1" customWidth="1"/>
    <col min="2" max="2" width="51.625" bestFit="1" customWidth="1"/>
    <col min="3" max="3" width="12" bestFit="1" customWidth="1"/>
    <col min="4" max="4" width="8.875" bestFit="1" customWidth="1"/>
    <col min="5" max="5" width="16.375" bestFit="1" customWidth="1"/>
    <col min="6" max="6" width="16" bestFit="1" customWidth="1"/>
    <col min="7" max="7" width="72.375" bestFit="1" customWidth="1"/>
    <col min="8" max="8" width="17.625" bestFit="1" customWidth="1"/>
    <col min="9" max="9" width="95.5" bestFit="1" customWidth="1"/>
    <col min="10" max="10" width="22.125" bestFit="1" customWidth="1"/>
    <col min="11" max="15" width="30.5" bestFit="1" customWidth="1"/>
    <col min="16" max="16" width="95.5" bestFit="1" customWidth="1"/>
    <col min="17" max="17" width="17.5" bestFit="1" customWidth="1"/>
    <col min="18" max="22" width="28.875" bestFit="1" customWidth="1"/>
    <col min="23" max="23" width="95.5" bestFit="1" customWidth="1"/>
    <col min="24" max="24" width="20.875" bestFit="1" customWidth="1"/>
    <col min="25" max="29" width="29.375" bestFit="1" customWidth="1"/>
    <col min="30" max="30" width="95.5" bestFit="1" customWidth="1"/>
    <col min="31" max="31" width="18.5" bestFit="1" customWidth="1"/>
    <col min="32" max="36" width="28.875" bestFit="1" customWidth="1"/>
    <col min="37" max="37" width="95.5" bestFit="1" customWidth="1"/>
    <col min="38" max="38" width="16.375" bestFit="1" customWidth="1"/>
    <col min="39" max="43" width="28.875" customWidth="1"/>
    <col min="44" max="44" width="95.5" bestFit="1" customWidth="1"/>
    <col min="45" max="45" width="16.5" bestFit="1" customWidth="1"/>
    <col min="46" max="50" width="28.875" customWidth="1"/>
    <col min="51" max="51" width="69.125" bestFit="1" customWidth="1"/>
    <col min="52" max="52" width="24.625" bestFit="1" customWidth="1"/>
    <col min="53" max="57" width="33.125" bestFit="1" customWidth="1"/>
    <col min="58" max="58" width="95.5" bestFit="1" customWidth="1"/>
    <col min="59" max="59" width="20.125" bestFit="1" customWidth="1"/>
    <col min="60" max="64" width="28.875" bestFit="1" customWidth="1"/>
    <col min="65" max="65" width="95.5" bestFit="1" customWidth="1"/>
    <col min="66" max="66" width="16.5" bestFit="1" customWidth="1"/>
    <col min="67" max="71" width="28.875" bestFit="1" customWidth="1"/>
    <col min="72" max="72" width="95.5" bestFit="1" customWidth="1"/>
    <col min="73" max="73" width="22.375" bestFit="1" customWidth="1"/>
    <col min="74" max="78" width="30.625" bestFit="1" customWidth="1"/>
    <col min="79" max="79" width="95.5" bestFit="1" customWidth="1"/>
    <col min="80" max="80" width="20.5" bestFit="1" customWidth="1"/>
    <col min="81" max="85" width="29" bestFit="1" customWidth="1"/>
    <col min="86" max="86" width="95.5" bestFit="1" customWidth="1"/>
    <col min="87" max="87" width="20.625" bestFit="1" customWidth="1"/>
    <col min="88" max="92" width="29.125" bestFit="1" customWidth="1"/>
    <col min="93" max="93" width="95.5" bestFit="1" customWidth="1"/>
    <col min="94" max="94" width="20.875" bestFit="1" customWidth="1"/>
    <col min="95" max="99" width="29.375" bestFit="1" customWidth="1"/>
  </cols>
  <sheetData>
    <row r="1" spans="1:99" s="1" customFormat="1" x14ac:dyDescent="0.25">
      <c r="A1" s="1" t="s">
        <v>0</v>
      </c>
      <c r="B1" s="1" t="s">
        <v>7</v>
      </c>
      <c r="C1" s="1" t="s">
        <v>1</v>
      </c>
      <c r="D1" s="1" t="s">
        <v>2</v>
      </c>
      <c r="E1" s="1" t="s">
        <v>3</v>
      </c>
      <c r="F1" s="1" t="s">
        <v>4</v>
      </c>
      <c r="G1" s="1" t="s">
        <v>5</v>
      </c>
      <c r="H1" s="1" t="s">
        <v>6</v>
      </c>
      <c r="I1" s="1" t="s">
        <v>8</v>
      </c>
      <c r="J1" s="1" t="s">
        <v>14</v>
      </c>
      <c r="K1" s="1" t="s">
        <v>9</v>
      </c>
      <c r="L1" s="1" t="s">
        <v>10</v>
      </c>
      <c r="M1" s="1" t="s">
        <v>11</v>
      </c>
      <c r="N1" s="1" t="s">
        <v>12</v>
      </c>
      <c r="O1" s="1" t="s">
        <v>13</v>
      </c>
      <c r="P1" s="1" t="s">
        <v>15</v>
      </c>
      <c r="Q1" s="1" t="s">
        <v>16</v>
      </c>
      <c r="R1" s="1" t="s">
        <v>17</v>
      </c>
      <c r="S1" s="1" t="s">
        <v>18</v>
      </c>
      <c r="T1" s="1" t="s">
        <v>19</v>
      </c>
      <c r="U1" s="1" t="s">
        <v>20</v>
      </c>
      <c r="V1" s="1" t="s">
        <v>21</v>
      </c>
      <c r="W1" s="1" t="s">
        <v>22</v>
      </c>
      <c r="X1" s="1" t="s">
        <v>23</v>
      </c>
      <c r="Y1" s="1" t="s">
        <v>24</v>
      </c>
      <c r="Z1" s="1" t="s">
        <v>25</v>
      </c>
      <c r="AA1" s="1" t="s">
        <v>26</v>
      </c>
      <c r="AB1" s="1" t="s">
        <v>27</v>
      </c>
      <c r="AC1" s="1" t="s">
        <v>28</v>
      </c>
      <c r="AD1" s="1" t="s">
        <v>29</v>
      </c>
      <c r="AE1" s="1" t="s">
        <v>30</v>
      </c>
      <c r="AF1" s="1" t="s">
        <v>31</v>
      </c>
      <c r="AG1" s="1" t="s">
        <v>32</v>
      </c>
      <c r="AH1" s="1" t="s">
        <v>33</v>
      </c>
      <c r="AI1" s="1" t="s">
        <v>34</v>
      </c>
      <c r="AJ1" s="1" t="s">
        <v>35</v>
      </c>
      <c r="AK1" s="1" t="s">
        <v>43</v>
      </c>
      <c r="AL1" s="1" t="s">
        <v>44</v>
      </c>
      <c r="AM1" s="1" t="s">
        <v>45</v>
      </c>
      <c r="AN1" s="1" t="s">
        <v>46</v>
      </c>
      <c r="AO1" s="1" t="s">
        <v>47</v>
      </c>
      <c r="AP1" s="1" t="s">
        <v>48</v>
      </c>
      <c r="AQ1" s="1" t="s">
        <v>49</v>
      </c>
      <c r="AR1" s="1" t="s">
        <v>50</v>
      </c>
      <c r="AS1" s="1" t="s">
        <v>51</v>
      </c>
      <c r="AT1" s="1" t="s">
        <v>52</v>
      </c>
      <c r="AU1" s="1" t="s">
        <v>53</v>
      </c>
      <c r="AV1" s="1" t="s">
        <v>54</v>
      </c>
      <c r="AW1" s="1" t="s">
        <v>55</v>
      </c>
      <c r="AX1" s="1" t="s">
        <v>56</v>
      </c>
      <c r="AY1" s="1" t="s">
        <v>36</v>
      </c>
      <c r="AZ1" s="1" t="s">
        <v>37</v>
      </c>
      <c r="BA1" s="1" t="s">
        <v>38</v>
      </c>
      <c r="BB1" s="1" t="s">
        <v>39</v>
      </c>
      <c r="BC1" s="1" t="s">
        <v>40</v>
      </c>
      <c r="BD1" s="1" t="s">
        <v>41</v>
      </c>
      <c r="BE1" s="1" t="s">
        <v>42</v>
      </c>
      <c r="BF1" s="1" t="s">
        <v>57</v>
      </c>
      <c r="BG1" s="1" t="s">
        <v>58</v>
      </c>
      <c r="BH1" s="1" t="s">
        <v>59</v>
      </c>
      <c r="BI1" s="1" t="s">
        <v>60</v>
      </c>
      <c r="BJ1" s="1" t="s">
        <v>61</v>
      </c>
      <c r="BK1" s="1" t="s">
        <v>62</v>
      </c>
      <c r="BL1" s="1" t="s">
        <v>63</v>
      </c>
      <c r="BM1" s="1" t="s">
        <v>78</v>
      </c>
      <c r="BN1" s="1" t="s">
        <v>79</v>
      </c>
      <c r="BO1" s="1" t="s">
        <v>80</v>
      </c>
      <c r="BP1" s="1" t="s">
        <v>81</v>
      </c>
      <c r="BQ1" s="1" t="s">
        <v>82</v>
      </c>
      <c r="BR1" s="1" t="s">
        <v>83</v>
      </c>
      <c r="BS1" s="1" t="s">
        <v>84</v>
      </c>
      <c r="BT1" s="1" t="s">
        <v>64</v>
      </c>
      <c r="BU1" s="1" t="s">
        <v>65</v>
      </c>
      <c r="BV1" s="1" t="s">
        <v>66</v>
      </c>
      <c r="BW1" s="1" t="s">
        <v>67</v>
      </c>
      <c r="BX1" s="1" t="s">
        <v>68</v>
      </c>
      <c r="BY1" s="1" t="s">
        <v>69</v>
      </c>
      <c r="BZ1" s="1" t="s">
        <v>70</v>
      </c>
      <c r="CA1" s="1" t="s">
        <v>71</v>
      </c>
      <c r="CB1" s="1" t="s">
        <v>72</v>
      </c>
      <c r="CC1" s="1" t="s">
        <v>73</v>
      </c>
      <c r="CD1" s="1" t="s">
        <v>74</v>
      </c>
      <c r="CE1" s="1" t="s">
        <v>75</v>
      </c>
      <c r="CF1" s="1" t="s">
        <v>76</v>
      </c>
      <c r="CG1" s="1" t="s">
        <v>77</v>
      </c>
      <c r="CH1" s="1" t="s">
        <v>85</v>
      </c>
      <c r="CI1" s="1" t="s">
        <v>86</v>
      </c>
      <c r="CJ1" s="1" t="s">
        <v>87</v>
      </c>
      <c r="CK1" s="1" t="s">
        <v>88</v>
      </c>
      <c r="CL1" s="1" t="s">
        <v>89</v>
      </c>
      <c r="CM1" s="1" t="s">
        <v>90</v>
      </c>
      <c r="CN1" s="1" t="s">
        <v>91</v>
      </c>
      <c r="CO1" s="1" t="s">
        <v>92</v>
      </c>
      <c r="CP1" s="1" t="s">
        <v>93</v>
      </c>
      <c r="CQ1" s="1" t="s">
        <v>94</v>
      </c>
      <c r="CR1" s="1" t="s">
        <v>95</v>
      </c>
      <c r="CS1" s="1" t="s">
        <v>96</v>
      </c>
      <c r="CT1" s="1" t="s">
        <v>97</v>
      </c>
      <c r="CU1" s="1" t="s">
        <v>98</v>
      </c>
    </row>
    <row r="2" spans="1:99" x14ac:dyDescent="0.25">
      <c r="G2" s="2"/>
      <c r="AY2" s="2"/>
    </row>
  </sheetData>
  <conditionalFormatting sqref="A1:CU2">
    <cfRule type="expression" dxfId="3" priority="1">
      <formula>A$2="Final value, if there is no data from any of the forwarders but there is data in ERP we use the data from the ERP"</formula>
    </cfRule>
    <cfRule type="expression" dxfId="2" priority="2">
      <formula>ISNUMBER(SEARCH("final value",A$2))</formula>
    </cfRule>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72920-6E9F-344F-BD19-41147B8B4242}">
  <sheetPr codeName="shtReq">
    <tabColor theme="9"/>
  </sheetPr>
  <dimension ref="A1:B31"/>
  <sheetViews>
    <sheetView topLeftCell="A3" workbookViewId="0">
      <selection activeCell="A28" sqref="A28"/>
    </sheetView>
  </sheetViews>
  <sheetFormatPr defaultColWidth="11" defaultRowHeight="15.75" x14ac:dyDescent="0.25"/>
  <cols>
    <col min="1" max="1" width="151.375" customWidth="1"/>
  </cols>
  <sheetData>
    <row r="1" spans="1:2" x14ac:dyDescent="0.25">
      <c r="A1" s="2" t="s">
        <v>102</v>
      </c>
    </row>
    <row r="2" spans="1:2" x14ac:dyDescent="0.25">
      <c r="A2" s="2" t="s">
        <v>103</v>
      </c>
    </row>
    <row r="3" spans="1:2" x14ac:dyDescent="0.25">
      <c r="A3" s="2" t="s">
        <v>104</v>
      </c>
    </row>
    <row r="4" spans="1:2" x14ac:dyDescent="0.25">
      <c r="A4" s="2" t="s">
        <v>110</v>
      </c>
    </row>
    <row r="5" spans="1:2" x14ac:dyDescent="0.25">
      <c r="A5" s="2" t="s">
        <v>105</v>
      </c>
    </row>
    <row r="6" spans="1:2" x14ac:dyDescent="0.25">
      <c r="A6" s="4" t="s">
        <v>106</v>
      </c>
      <c r="B6" t="s">
        <v>129</v>
      </c>
    </row>
    <row r="7" spans="1:2" x14ac:dyDescent="0.25">
      <c r="A7" s="2" t="s">
        <v>107</v>
      </c>
    </row>
    <row r="8" spans="1:2" x14ac:dyDescent="0.25">
      <c r="A8" s="2" t="s">
        <v>108</v>
      </c>
    </row>
    <row r="9" spans="1:2" ht="31.5" x14ac:dyDescent="0.25">
      <c r="A9" s="2" t="s">
        <v>109</v>
      </c>
    </row>
    <row r="10" spans="1:2" x14ac:dyDescent="0.25">
      <c r="A10" s="2" t="s">
        <v>113</v>
      </c>
    </row>
    <row r="11" spans="1:2" x14ac:dyDescent="0.25">
      <c r="A11" s="2" t="s">
        <v>114</v>
      </c>
    </row>
    <row r="12" spans="1:2" ht="31.5" x14ac:dyDescent="0.25">
      <c r="A12" s="2" t="s">
        <v>115</v>
      </c>
    </row>
    <row r="13" spans="1:2" x14ac:dyDescent="0.25">
      <c r="A13" s="2"/>
    </row>
    <row r="14" spans="1:2" x14ac:dyDescent="0.25">
      <c r="A14" s="6" t="s">
        <v>132</v>
      </c>
    </row>
    <row r="15" spans="1:2" x14ac:dyDescent="0.25">
      <c r="A15" t="s">
        <v>131</v>
      </c>
    </row>
    <row r="16" spans="1:2" x14ac:dyDescent="0.25">
      <c r="A16" t="s">
        <v>133</v>
      </c>
    </row>
    <row r="17" spans="1:1" x14ac:dyDescent="0.25">
      <c r="A17" t="s">
        <v>134</v>
      </c>
    </row>
    <row r="18" spans="1:1" x14ac:dyDescent="0.25">
      <c r="A18" t="s">
        <v>135</v>
      </c>
    </row>
    <row r="19" spans="1:1" x14ac:dyDescent="0.25">
      <c r="A19" t="s">
        <v>130</v>
      </c>
    </row>
    <row r="21" spans="1:1" x14ac:dyDescent="0.25">
      <c r="A21" s="1" t="s">
        <v>136</v>
      </c>
    </row>
    <row r="22" spans="1:1" x14ac:dyDescent="0.25">
      <c r="A22" t="s">
        <v>137</v>
      </c>
    </row>
    <row r="24" spans="1:1" x14ac:dyDescent="0.25">
      <c r="A24" s="1" t="s">
        <v>138</v>
      </c>
    </row>
    <row r="25" spans="1:1" x14ac:dyDescent="0.25">
      <c r="A25" t="s">
        <v>139</v>
      </c>
    </row>
    <row r="27" spans="1:1" x14ac:dyDescent="0.25">
      <c r="A27" s="1" t="s">
        <v>140</v>
      </c>
    </row>
    <row r="28" spans="1:1" ht="31.5" x14ac:dyDescent="0.25">
      <c r="A28" s="2" t="s">
        <v>141</v>
      </c>
    </row>
    <row r="30" spans="1:1" x14ac:dyDescent="0.25">
      <c r="A30" s="1" t="s">
        <v>151</v>
      </c>
    </row>
    <row r="31" spans="1:1" ht="47.25" x14ac:dyDescent="0.25">
      <c r="A31" s="2" t="s">
        <v>152</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7329A4-12C6-4926-BEAF-1D23BA86108E}">
  <sheetPr codeName="shtInst">
    <tabColor theme="9"/>
  </sheetPr>
  <dimension ref="A1:C5"/>
  <sheetViews>
    <sheetView workbookViewId="0">
      <selection activeCell="F17" sqref="F17"/>
    </sheetView>
  </sheetViews>
  <sheetFormatPr defaultColWidth="8.875" defaultRowHeight="15.75" x14ac:dyDescent="0.25"/>
  <cols>
    <col min="1" max="1" width="3" customWidth="1"/>
    <col min="2" max="2" width="19.875" bestFit="1" customWidth="1"/>
    <col min="3" max="3" width="70.625" customWidth="1"/>
  </cols>
  <sheetData>
    <row r="1" spans="1:3" x14ac:dyDescent="0.25">
      <c r="A1" t="s">
        <v>118</v>
      </c>
      <c r="B1" t="s">
        <v>119</v>
      </c>
      <c r="C1" t="s">
        <v>120</v>
      </c>
    </row>
    <row r="2" spans="1:3" ht="78.75" x14ac:dyDescent="0.25">
      <c r="A2">
        <v>1</v>
      </c>
      <c r="B2" t="s">
        <v>121</v>
      </c>
      <c r="C2" s="2" t="s">
        <v>127</v>
      </c>
    </row>
    <row r="3" spans="1:3" x14ac:dyDescent="0.25">
      <c r="A3">
        <v>2</v>
      </c>
      <c r="B3" t="s">
        <v>124</v>
      </c>
      <c r="C3" s="2" t="s">
        <v>125</v>
      </c>
    </row>
    <row r="4" spans="1:3" ht="47.25" x14ac:dyDescent="0.25">
      <c r="A4">
        <v>3</v>
      </c>
      <c r="B4" t="s">
        <v>122</v>
      </c>
      <c r="C4" s="2" t="s">
        <v>123</v>
      </c>
    </row>
    <row r="5" spans="1:3" ht="47.25" x14ac:dyDescent="0.25">
      <c r="A5">
        <v>4</v>
      </c>
      <c r="B5" s="5" t="s">
        <v>126</v>
      </c>
      <c r="C5" s="2" t="s">
        <v>128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E147B4-584F-DA4B-83D9-9B0547361B5B}">
  <sheetPr codeName="shtPriority">
    <tabColor theme="9"/>
  </sheetPr>
  <dimension ref="A1:P32"/>
  <sheetViews>
    <sheetView workbookViewId="0">
      <selection activeCell="E15" sqref="E15"/>
    </sheetView>
  </sheetViews>
  <sheetFormatPr defaultColWidth="11" defaultRowHeight="15.75" x14ac:dyDescent="0.25"/>
  <cols>
    <col min="1" max="1" width="19.625" bestFit="1" customWidth="1"/>
    <col min="2" max="2" width="76.5" bestFit="1" customWidth="1"/>
    <col min="3" max="3" width="13.625" bestFit="1" customWidth="1"/>
    <col min="4" max="4" width="19.125" bestFit="1" customWidth="1"/>
    <col min="5" max="5" width="17.625" bestFit="1" customWidth="1"/>
    <col min="6" max="6" width="15.25" bestFit="1" customWidth="1"/>
    <col min="7" max="7" width="23.625" bestFit="1" customWidth="1"/>
    <col min="8" max="8" width="20.875" bestFit="1" customWidth="1"/>
    <col min="9" max="9" width="16.5" bestFit="1" customWidth="1"/>
    <col min="10" max="10" width="20.875" bestFit="1" customWidth="1"/>
    <col min="11" max="11" width="17.125" bestFit="1" customWidth="1"/>
    <col min="12" max="12" width="12.5" bestFit="1" customWidth="1"/>
    <col min="13" max="13" width="18.625" bestFit="1" customWidth="1"/>
    <col min="14" max="14" width="16.75" bestFit="1" customWidth="1"/>
    <col min="15" max="15" width="17.375" bestFit="1" customWidth="1"/>
    <col min="16" max="16" width="17.5" bestFit="1" customWidth="1"/>
  </cols>
  <sheetData>
    <row r="1" spans="1:2" x14ac:dyDescent="0.25">
      <c r="A1" s="3" t="s">
        <v>112</v>
      </c>
      <c r="B1" t="s">
        <v>116</v>
      </c>
    </row>
    <row r="2" spans="1:2" x14ac:dyDescent="0.25">
      <c r="A2" s="3" t="s">
        <v>100</v>
      </c>
      <c r="B2" s="3" t="s">
        <v>99</v>
      </c>
    </row>
    <row r="3" spans="1:2" x14ac:dyDescent="0.25">
      <c r="A3" s="16" t="s">
        <v>101</v>
      </c>
      <c r="B3" s="16">
        <v>7</v>
      </c>
    </row>
    <row r="4" spans="1:2" x14ac:dyDescent="0.25">
      <c r="A4" s="16" t="s">
        <v>158</v>
      </c>
      <c r="B4" s="16">
        <v>2</v>
      </c>
    </row>
    <row r="5" spans="1:2" x14ac:dyDescent="0.25">
      <c r="A5" s="16" t="s">
        <v>339</v>
      </c>
      <c r="B5" s="16">
        <v>3</v>
      </c>
    </row>
    <row r="6" spans="1:2" x14ac:dyDescent="0.25">
      <c r="A6" s="16" t="s">
        <v>178</v>
      </c>
      <c r="B6" s="16">
        <v>1</v>
      </c>
    </row>
    <row r="7" spans="1:2" x14ac:dyDescent="0.25">
      <c r="A7" s="16" t="s">
        <v>159</v>
      </c>
      <c r="B7" s="16">
        <v>4</v>
      </c>
    </row>
    <row r="8" spans="1:2" x14ac:dyDescent="0.25">
      <c r="A8" s="16" t="s">
        <v>349</v>
      </c>
      <c r="B8" s="16">
        <v>9</v>
      </c>
    </row>
    <row r="9" spans="1:2" x14ac:dyDescent="0.25">
      <c r="A9" s="16" t="s">
        <v>177</v>
      </c>
      <c r="B9" s="16">
        <v>8</v>
      </c>
    </row>
    <row r="10" spans="1:2" x14ac:dyDescent="0.25">
      <c r="A10" s="16" t="s">
        <v>327</v>
      </c>
      <c r="B10" s="16">
        <v>5</v>
      </c>
    </row>
    <row r="11" spans="1:2" x14ac:dyDescent="0.25">
      <c r="A11" s="16" t="s">
        <v>505</v>
      </c>
      <c r="B11" s="16">
        <v>6</v>
      </c>
    </row>
    <row r="12" spans="1:2" x14ac:dyDescent="0.25">
      <c r="A12" s="16" t="s">
        <v>321</v>
      </c>
      <c r="B12" s="16">
        <v>10</v>
      </c>
    </row>
    <row r="21" spans="1:16" x14ac:dyDescent="0.25">
      <c r="A21" s="3" t="s">
        <v>111</v>
      </c>
    </row>
    <row r="22" spans="1:16" x14ac:dyDescent="0.25">
      <c r="A22" s="3" t="s">
        <v>100</v>
      </c>
      <c r="B22" s="1" t="s">
        <v>8</v>
      </c>
      <c r="C22" s="1" t="s">
        <v>15</v>
      </c>
      <c r="D22" s="1" t="s">
        <v>320</v>
      </c>
      <c r="E22" s="1" t="s">
        <v>22</v>
      </c>
      <c r="F22" s="1" t="s">
        <v>29</v>
      </c>
      <c r="G22" s="1" t="s">
        <v>338</v>
      </c>
      <c r="H22" s="1" t="s">
        <v>43</v>
      </c>
      <c r="I22" s="1" t="s">
        <v>50</v>
      </c>
      <c r="J22" s="1" t="s">
        <v>36</v>
      </c>
      <c r="K22" s="1" t="s">
        <v>57</v>
      </c>
      <c r="L22" s="1" t="s">
        <v>78</v>
      </c>
      <c r="M22" s="1" t="s">
        <v>64</v>
      </c>
      <c r="N22" s="1" t="s">
        <v>71</v>
      </c>
      <c r="O22" s="1" t="s">
        <v>85</v>
      </c>
      <c r="P22" s="1" t="s">
        <v>92</v>
      </c>
    </row>
    <row r="23" spans="1:16" x14ac:dyDescent="0.25">
      <c r="A23" t="s">
        <v>101</v>
      </c>
      <c r="B23">
        <v>2</v>
      </c>
      <c r="C23">
        <v>6</v>
      </c>
      <c r="E23">
        <v>9</v>
      </c>
      <c r="F23">
        <v>6</v>
      </c>
      <c r="J23">
        <v>6</v>
      </c>
      <c r="L23">
        <v>2</v>
      </c>
      <c r="M23">
        <v>6</v>
      </c>
    </row>
    <row r="24" spans="1:16" x14ac:dyDescent="0.25">
      <c r="A24" t="s">
        <v>158</v>
      </c>
      <c r="B24">
        <v>1</v>
      </c>
      <c r="C24">
        <v>2</v>
      </c>
      <c r="E24">
        <v>2</v>
      </c>
      <c r="F24">
        <v>2</v>
      </c>
      <c r="J24">
        <v>2</v>
      </c>
      <c r="L24">
        <v>3</v>
      </c>
      <c r="M24">
        <v>2</v>
      </c>
    </row>
    <row r="25" spans="1:16" x14ac:dyDescent="0.25">
      <c r="A25" t="s">
        <v>339</v>
      </c>
      <c r="B25">
        <v>3</v>
      </c>
      <c r="C25">
        <v>3</v>
      </c>
      <c r="E25">
        <v>3</v>
      </c>
      <c r="F25">
        <v>3</v>
      </c>
      <c r="J25">
        <v>3</v>
      </c>
      <c r="L25">
        <v>7</v>
      </c>
      <c r="M25">
        <v>3</v>
      </c>
    </row>
    <row r="26" spans="1:16" x14ac:dyDescent="0.25">
      <c r="A26" t="s">
        <v>178</v>
      </c>
      <c r="B26">
        <v>6</v>
      </c>
      <c r="C26">
        <v>1</v>
      </c>
      <c r="E26">
        <v>1</v>
      </c>
      <c r="F26">
        <v>1</v>
      </c>
      <c r="J26">
        <v>1</v>
      </c>
      <c r="L26">
        <v>4</v>
      </c>
      <c r="M26">
        <v>1</v>
      </c>
    </row>
    <row r="27" spans="1:16" x14ac:dyDescent="0.25">
      <c r="A27" t="s">
        <v>159</v>
      </c>
      <c r="B27">
        <v>4</v>
      </c>
      <c r="C27">
        <v>4</v>
      </c>
      <c r="E27">
        <v>4</v>
      </c>
      <c r="F27">
        <v>4</v>
      </c>
      <c r="J27">
        <v>4</v>
      </c>
      <c r="L27">
        <v>5</v>
      </c>
      <c r="M27">
        <v>4</v>
      </c>
    </row>
    <row r="28" spans="1:16" x14ac:dyDescent="0.25">
      <c r="A28" t="s">
        <v>349</v>
      </c>
      <c r="B28">
        <v>8</v>
      </c>
      <c r="C28">
        <v>8</v>
      </c>
      <c r="E28">
        <v>8</v>
      </c>
      <c r="F28">
        <v>8</v>
      </c>
      <c r="J28">
        <v>8</v>
      </c>
      <c r="L28">
        <v>1</v>
      </c>
      <c r="M28">
        <v>8</v>
      </c>
    </row>
    <row r="29" spans="1:16" x14ac:dyDescent="0.25">
      <c r="A29" t="s">
        <v>177</v>
      </c>
      <c r="B29">
        <v>5</v>
      </c>
      <c r="C29">
        <v>5</v>
      </c>
      <c r="E29">
        <v>5</v>
      </c>
      <c r="F29">
        <v>5</v>
      </c>
      <c r="J29">
        <v>5</v>
      </c>
      <c r="L29">
        <v>6</v>
      </c>
      <c r="M29">
        <v>5</v>
      </c>
    </row>
    <row r="30" spans="1:16" x14ac:dyDescent="0.25">
      <c r="A30" t="s">
        <v>327</v>
      </c>
      <c r="B30">
        <v>7</v>
      </c>
      <c r="C30">
        <v>7</v>
      </c>
      <c r="E30">
        <v>7</v>
      </c>
      <c r="F30">
        <v>7</v>
      </c>
      <c r="J30">
        <v>7</v>
      </c>
      <c r="L30">
        <v>8</v>
      </c>
      <c r="M30">
        <v>7</v>
      </c>
    </row>
    <row r="31" spans="1:16" x14ac:dyDescent="0.25">
      <c r="A31" t="s">
        <v>505</v>
      </c>
    </row>
    <row r="32" spans="1:16" x14ac:dyDescent="0.25">
      <c r="A32" t="s">
        <v>321</v>
      </c>
      <c r="B32">
        <v>9</v>
      </c>
      <c r="C32">
        <v>9</v>
      </c>
      <c r="E32">
        <v>6</v>
      </c>
      <c r="F32">
        <v>9</v>
      </c>
      <c r="J32">
        <v>9</v>
      </c>
      <c r="L32">
        <v>9</v>
      </c>
      <c r="M32">
        <v>9</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681E8-30BB-EF4A-857A-39EEFD120815}">
  <sheetPr codeName="shtMaster">
    <tabColor theme="9"/>
  </sheetPr>
  <dimension ref="A1:AF1"/>
  <sheetViews>
    <sheetView zoomScale="85" zoomScaleNormal="85" workbookViewId="0">
      <pane ySplit="1" topLeftCell="A2" activePane="bottomLeft" state="frozen"/>
      <selection pane="bottomLeft" activeCell="ET2" sqref="ET2:FB62"/>
    </sheetView>
  </sheetViews>
  <sheetFormatPr defaultColWidth="11" defaultRowHeight="15.75" outlineLevelCol="1" x14ac:dyDescent="0.25"/>
  <cols>
    <col min="1" max="24" width="25.625" customWidth="1"/>
    <col min="25" max="32" width="25.625" customWidth="1" outlineLevel="1"/>
    <col min="33" max="158" width="25.625" customWidth="1"/>
  </cols>
  <sheetData>
    <row r="1" spans="1:8" x14ac:dyDescent="0.25">
      <c r="A1" t="s">
        <v>0</v>
      </c>
      <c r="B1" t="s">
        <v>7</v>
      </c>
      <c r="C1" t="s">
        <v>1</v>
      </c>
      <c r="D1" t="s">
        <v>2</v>
      </c>
      <c r="E1" t="s">
        <v>3</v>
      </c>
      <c r="F1" t="s">
        <v>4</v>
      </c>
      <c r="G1" t="s">
        <v>5</v>
      </c>
      <c r="H1" s="15" t="s">
        <v>6</v>
      </c>
    </row>
  </sheetData>
  <autoFilter ref="A1:BU63" xr:uid="{3D0681E8-30BB-EF4A-857A-39EEFD120815}"/>
  <conditionalFormatting sqref="A1:H1">
    <cfRule type="expression" dxfId="1" priority="3">
      <formula>#REF!="Final value, if there is no data from any of the forwarders but there is data in ERP we use the data from the ERP"</formula>
    </cfRule>
    <cfRule type="expression" dxfId="0" priority="4">
      <formula>ISNUMBER(SEARCH("final value",#REF!))</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675456-0EFF-41D6-9A0F-B486A3A03659}">
  <sheetPr codeName="Sheet14"/>
  <dimension ref="A1:AAA53"/>
  <sheetViews>
    <sheetView zoomScaleNormal="100" workbookViewId="0">
      <selection activeCell="F27" sqref="F27"/>
    </sheetView>
  </sheetViews>
  <sheetFormatPr defaultColWidth="11" defaultRowHeight="15.75" x14ac:dyDescent="0.25"/>
  <cols>
    <col min="1" max="1" width="10.5" bestFit="1" customWidth="1"/>
    <col min="2" max="2" width="14.5" style="14" bestFit="1" customWidth="1"/>
    <col min="3" max="3" width="18.5" bestFit="1" customWidth="1"/>
    <col min="4" max="4" width="29" bestFit="1" customWidth="1"/>
    <col min="5" max="5" width="18.875" bestFit="1" customWidth="1"/>
    <col min="6" max="6" width="21.5" bestFit="1" customWidth="1"/>
    <col min="7" max="7" width="22.375" bestFit="1" customWidth="1"/>
    <col min="8" max="8" width="32.125" bestFit="1" customWidth="1"/>
    <col min="9" max="9" width="32.125" style="14" customWidth="1"/>
    <col min="10" max="10" width="19.875" style="14" bestFit="1" customWidth="1"/>
    <col min="11" max="11" width="17" style="14" bestFit="1" customWidth="1"/>
    <col min="12" max="12" width="24" style="14" bestFit="1" customWidth="1"/>
    <col min="13" max="13" width="14.5" style="14" bestFit="1" customWidth="1"/>
    <col min="14" max="14" width="14.375" style="14" bestFit="1" customWidth="1"/>
    <col min="15" max="15" width="18.125" style="14" bestFit="1" customWidth="1"/>
    <col min="16" max="16" width="18.5" style="14" bestFit="1" customWidth="1"/>
    <col min="17" max="17" width="14.375" style="14" bestFit="1" customWidth="1"/>
    <col min="18" max="18" width="21" style="14" bestFit="1" customWidth="1"/>
    <col min="19" max="19" width="19.125" style="14" bestFit="1" customWidth="1"/>
    <col min="20" max="21" width="19.5" style="14" bestFit="1" customWidth="1"/>
  </cols>
  <sheetData>
    <row r="1" spans="1:703" x14ac:dyDescent="0.25">
      <c r="A1" s="10" t="s">
        <v>0</v>
      </c>
      <c r="B1" s="17" t="s">
        <v>1</v>
      </c>
      <c r="C1" s="10" t="s">
        <v>3</v>
      </c>
      <c r="D1" s="10" t="s">
        <v>4</v>
      </c>
      <c r="E1" s="10" t="s">
        <v>5</v>
      </c>
      <c r="F1" s="10" t="s">
        <v>6</v>
      </c>
      <c r="G1" s="10" t="s">
        <v>8</v>
      </c>
      <c r="H1" s="10" t="s">
        <v>15</v>
      </c>
      <c r="I1" s="17" t="s">
        <v>320</v>
      </c>
      <c r="J1" s="17" t="s">
        <v>22</v>
      </c>
      <c r="K1" s="17" t="s">
        <v>29</v>
      </c>
      <c r="L1" s="17" t="s">
        <v>338</v>
      </c>
      <c r="M1" s="17" t="s">
        <v>36</v>
      </c>
      <c r="N1" s="17" t="s">
        <v>43</v>
      </c>
      <c r="O1" s="17" t="s">
        <v>50</v>
      </c>
      <c r="P1" s="17" t="s">
        <v>162</v>
      </c>
      <c r="Q1" s="17" t="s">
        <v>57</v>
      </c>
      <c r="R1" s="17" t="s">
        <v>78</v>
      </c>
      <c r="S1" s="17" t="s">
        <v>64</v>
      </c>
      <c r="T1" s="17" t="s">
        <v>71</v>
      </c>
      <c r="U1" s="17" t="s">
        <v>85</v>
      </c>
      <c r="V1" t="s">
        <v>92</v>
      </c>
      <c r="ZZ1" t="s">
        <v>142</v>
      </c>
      <c r="AAA1" t="s">
        <v>192</v>
      </c>
    </row>
    <row r="2" spans="1:703" x14ac:dyDescent="0.25">
      <c r="ZZ2" t="str">
        <f t="shared" ref="ZZ2:ZZ33" si="0">E2&amp; "|" &amp;F2</f>
        <v>|</v>
      </c>
      <c r="AAA2">
        <f t="shared" ref="AAA2:AAA33" si="1">C2</f>
        <v>0</v>
      </c>
    </row>
    <row r="3" spans="1:703" x14ac:dyDescent="0.25">
      <c r="ZZ3" t="str">
        <f t="shared" si="0"/>
        <v>|</v>
      </c>
      <c r="AAA3">
        <f t="shared" si="1"/>
        <v>0</v>
      </c>
    </row>
    <row r="4" spans="1:703" x14ac:dyDescent="0.25">
      <c r="ZZ4" t="str">
        <f t="shared" si="0"/>
        <v>|</v>
      </c>
      <c r="AAA4">
        <f t="shared" si="1"/>
        <v>0</v>
      </c>
    </row>
    <row r="5" spans="1:703" x14ac:dyDescent="0.25">
      <c r="ZZ5" t="str">
        <f t="shared" si="0"/>
        <v>|</v>
      </c>
      <c r="AAA5">
        <f t="shared" si="1"/>
        <v>0</v>
      </c>
    </row>
    <row r="6" spans="1:703" x14ac:dyDescent="0.25">
      <c r="ZZ6" t="str">
        <f t="shared" si="0"/>
        <v>|</v>
      </c>
      <c r="AAA6">
        <f t="shared" si="1"/>
        <v>0</v>
      </c>
    </row>
    <row r="7" spans="1:703" x14ac:dyDescent="0.25">
      <c r="ZZ7" t="str">
        <f t="shared" si="0"/>
        <v>|</v>
      </c>
      <c r="AAA7">
        <f t="shared" si="1"/>
        <v>0</v>
      </c>
    </row>
    <row r="8" spans="1:703" x14ac:dyDescent="0.25">
      <c r="ZZ8" t="str">
        <f t="shared" si="0"/>
        <v>|</v>
      </c>
      <c r="AAA8">
        <f t="shared" si="1"/>
        <v>0</v>
      </c>
    </row>
    <row r="9" spans="1:703" x14ac:dyDescent="0.25">
      <c r="ZZ9" t="str">
        <f t="shared" si="0"/>
        <v>|</v>
      </c>
      <c r="AAA9">
        <f t="shared" si="1"/>
        <v>0</v>
      </c>
    </row>
    <row r="10" spans="1:703" x14ac:dyDescent="0.25">
      <c r="ZZ10" t="str">
        <f t="shared" si="0"/>
        <v>|</v>
      </c>
      <c r="AAA10">
        <f t="shared" si="1"/>
        <v>0</v>
      </c>
    </row>
    <row r="11" spans="1:703" x14ac:dyDescent="0.25">
      <c r="ZZ11" t="str">
        <f t="shared" si="0"/>
        <v>|</v>
      </c>
      <c r="AAA11">
        <f t="shared" si="1"/>
        <v>0</v>
      </c>
    </row>
    <row r="12" spans="1:703" x14ac:dyDescent="0.25">
      <c r="ZZ12" t="str">
        <f t="shared" si="0"/>
        <v>|</v>
      </c>
      <c r="AAA12">
        <f t="shared" si="1"/>
        <v>0</v>
      </c>
    </row>
    <row r="13" spans="1:703" x14ac:dyDescent="0.25">
      <c r="ZZ13" t="str">
        <f t="shared" si="0"/>
        <v>|</v>
      </c>
      <c r="AAA13">
        <f t="shared" si="1"/>
        <v>0</v>
      </c>
    </row>
    <row r="14" spans="1:703" x14ac:dyDescent="0.25">
      <c r="ZZ14" t="str">
        <f t="shared" si="0"/>
        <v>|</v>
      </c>
      <c r="AAA14">
        <f t="shared" si="1"/>
        <v>0</v>
      </c>
    </row>
    <row r="15" spans="1:703" x14ac:dyDescent="0.25">
      <c r="ZZ15" t="str">
        <f t="shared" si="0"/>
        <v>|</v>
      </c>
      <c r="AAA15">
        <f t="shared" si="1"/>
        <v>0</v>
      </c>
    </row>
    <row r="16" spans="1:703" x14ac:dyDescent="0.25">
      <c r="ZZ16" t="str">
        <f t="shared" si="0"/>
        <v>|</v>
      </c>
      <c r="AAA16">
        <f t="shared" si="1"/>
        <v>0</v>
      </c>
    </row>
    <row r="17" spans="702:703" x14ac:dyDescent="0.25">
      <c r="ZZ17" t="str">
        <f t="shared" si="0"/>
        <v>|</v>
      </c>
      <c r="AAA17">
        <f t="shared" si="1"/>
        <v>0</v>
      </c>
    </row>
    <row r="18" spans="702:703" x14ac:dyDescent="0.25">
      <c r="ZZ18" t="str">
        <f t="shared" si="0"/>
        <v>|</v>
      </c>
      <c r="AAA18">
        <f t="shared" si="1"/>
        <v>0</v>
      </c>
    </row>
    <row r="19" spans="702:703" x14ac:dyDescent="0.25">
      <c r="ZZ19" t="str">
        <f t="shared" si="0"/>
        <v>|</v>
      </c>
      <c r="AAA19">
        <f t="shared" si="1"/>
        <v>0</v>
      </c>
    </row>
    <row r="20" spans="702:703" x14ac:dyDescent="0.25">
      <c r="ZZ20" t="str">
        <f t="shared" si="0"/>
        <v>|</v>
      </c>
      <c r="AAA20">
        <f t="shared" si="1"/>
        <v>0</v>
      </c>
    </row>
    <row r="21" spans="702:703" x14ac:dyDescent="0.25">
      <c r="ZZ21" t="str">
        <f t="shared" si="0"/>
        <v>|</v>
      </c>
      <c r="AAA21">
        <f t="shared" si="1"/>
        <v>0</v>
      </c>
    </row>
    <row r="22" spans="702:703" x14ac:dyDescent="0.25">
      <c r="ZZ22" t="str">
        <f t="shared" si="0"/>
        <v>|</v>
      </c>
      <c r="AAA22">
        <f t="shared" si="1"/>
        <v>0</v>
      </c>
    </row>
    <row r="23" spans="702:703" x14ac:dyDescent="0.25">
      <c r="ZZ23" t="str">
        <f t="shared" si="0"/>
        <v>|</v>
      </c>
      <c r="AAA23">
        <f t="shared" si="1"/>
        <v>0</v>
      </c>
    </row>
    <row r="24" spans="702:703" x14ac:dyDescent="0.25">
      <c r="ZZ24" t="str">
        <f t="shared" si="0"/>
        <v>|</v>
      </c>
      <c r="AAA24">
        <f t="shared" si="1"/>
        <v>0</v>
      </c>
    </row>
    <row r="25" spans="702:703" x14ac:dyDescent="0.25">
      <c r="ZZ25" t="str">
        <f t="shared" si="0"/>
        <v>|</v>
      </c>
      <c r="AAA25">
        <f t="shared" si="1"/>
        <v>0</v>
      </c>
    </row>
    <row r="26" spans="702:703" x14ac:dyDescent="0.25">
      <c r="ZZ26" t="str">
        <f t="shared" si="0"/>
        <v>|</v>
      </c>
      <c r="AAA26">
        <f t="shared" si="1"/>
        <v>0</v>
      </c>
    </row>
    <row r="27" spans="702:703" x14ac:dyDescent="0.25">
      <c r="ZZ27" t="str">
        <f t="shared" si="0"/>
        <v>|</v>
      </c>
      <c r="AAA27">
        <f t="shared" si="1"/>
        <v>0</v>
      </c>
    </row>
    <row r="28" spans="702:703" x14ac:dyDescent="0.25">
      <c r="ZZ28" t="str">
        <f t="shared" si="0"/>
        <v>|</v>
      </c>
      <c r="AAA28">
        <f t="shared" si="1"/>
        <v>0</v>
      </c>
    </row>
    <row r="29" spans="702:703" x14ac:dyDescent="0.25">
      <c r="ZZ29" t="str">
        <f t="shared" si="0"/>
        <v>|</v>
      </c>
      <c r="AAA29">
        <f t="shared" si="1"/>
        <v>0</v>
      </c>
    </row>
    <row r="30" spans="702:703" x14ac:dyDescent="0.25">
      <c r="ZZ30" t="str">
        <f t="shared" si="0"/>
        <v>|</v>
      </c>
      <c r="AAA30">
        <f t="shared" si="1"/>
        <v>0</v>
      </c>
    </row>
    <row r="31" spans="702:703" x14ac:dyDescent="0.25">
      <c r="ZZ31" t="str">
        <f t="shared" si="0"/>
        <v>|</v>
      </c>
      <c r="AAA31">
        <f t="shared" si="1"/>
        <v>0</v>
      </c>
    </row>
    <row r="32" spans="702:703" x14ac:dyDescent="0.25">
      <c r="ZZ32" t="str">
        <f t="shared" si="0"/>
        <v>|</v>
      </c>
      <c r="AAA32">
        <f t="shared" si="1"/>
        <v>0</v>
      </c>
    </row>
    <row r="33" spans="702:703" x14ac:dyDescent="0.25">
      <c r="ZZ33" t="str">
        <f t="shared" si="0"/>
        <v>|</v>
      </c>
      <c r="AAA33">
        <f t="shared" si="1"/>
        <v>0</v>
      </c>
    </row>
    <row r="34" spans="702:703" x14ac:dyDescent="0.25">
      <c r="ZZ34" t="str">
        <f t="shared" ref="ZZ34:ZZ53" si="2">E34&amp; "|" &amp;F34</f>
        <v>|</v>
      </c>
      <c r="AAA34">
        <f t="shared" ref="AAA34:AAA53" si="3">C34</f>
        <v>0</v>
      </c>
    </row>
    <row r="35" spans="702:703" x14ac:dyDescent="0.25">
      <c r="ZZ35" t="str">
        <f t="shared" si="2"/>
        <v>|</v>
      </c>
      <c r="AAA35">
        <f t="shared" si="3"/>
        <v>0</v>
      </c>
    </row>
    <row r="36" spans="702:703" x14ac:dyDescent="0.25">
      <c r="ZZ36" t="str">
        <f t="shared" si="2"/>
        <v>|</v>
      </c>
      <c r="AAA36">
        <f t="shared" si="3"/>
        <v>0</v>
      </c>
    </row>
    <row r="37" spans="702:703" x14ac:dyDescent="0.25">
      <c r="ZZ37" t="str">
        <f t="shared" si="2"/>
        <v>|</v>
      </c>
      <c r="AAA37">
        <f t="shared" si="3"/>
        <v>0</v>
      </c>
    </row>
    <row r="38" spans="702:703" x14ac:dyDescent="0.25">
      <c r="ZZ38" t="str">
        <f t="shared" si="2"/>
        <v>|</v>
      </c>
      <c r="AAA38">
        <f t="shared" si="3"/>
        <v>0</v>
      </c>
    </row>
    <row r="39" spans="702:703" x14ac:dyDescent="0.25">
      <c r="ZZ39" t="str">
        <f t="shared" si="2"/>
        <v>|</v>
      </c>
      <c r="AAA39">
        <f t="shared" si="3"/>
        <v>0</v>
      </c>
    </row>
    <row r="40" spans="702:703" x14ac:dyDescent="0.25">
      <c r="ZZ40" t="str">
        <f t="shared" si="2"/>
        <v>|</v>
      </c>
      <c r="AAA40">
        <f t="shared" si="3"/>
        <v>0</v>
      </c>
    </row>
    <row r="41" spans="702:703" x14ac:dyDescent="0.25">
      <c r="ZZ41" t="str">
        <f t="shared" si="2"/>
        <v>|</v>
      </c>
      <c r="AAA41">
        <f t="shared" si="3"/>
        <v>0</v>
      </c>
    </row>
    <row r="42" spans="702:703" x14ac:dyDescent="0.25">
      <c r="ZZ42" t="str">
        <f t="shared" si="2"/>
        <v>|</v>
      </c>
      <c r="AAA42">
        <f t="shared" si="3"/>
        <v>0</v>
      </c>
    </row>
    <row r="43" spans="702:703" x14ac:dyDescent="0.25">
      <c r="ZZ43" t="str">
        <f t="shared" si="2"/>
        <v>|</v>
      </c>
      <c r="AAA43">
        <f t="shared" si="3"/>
        <v>0</v>
      </c>
    </row>
    <row r="44" spans="702:703" x14ac:dyDescent="0.25">
      <c r="ZZ44" t="str">
        <f t="shared" si="2"/>
        <v>|</v>
      </c>
      <c r="AAA44">
        <f t="shared" si="3"/>
        <v>0</v>
      </c>
    </row>
    <row r="45" spans="702:703" x14ac:dyDescent="0.25">
      <c r="ZZ45" t="str">
        <f t="shared" si="2"/>
        <v>|</v>
      </c>
      <c r="AAA45">
        <f t="shared" si="3"/>
        <v>0</v>
      </c>
    </row>
    <row r="46" spans="702:703" x14ac:dyDescent="0.25">
      <c r="ZZ46" t="str">
        <f t="shared" si="2"/>
        <v>|</v>
      </c>
      <c r="AAA46">
        <f t="shared" si="3"/>
        <v>0</v>
      </c>
    </row>
    <row r="47" spans="702:703" x14ac:dyDescent="0.25">
      <c r="ZZ47" t="str">
        <f t="shared" si="2"/>
        <v>|</v>
      </c>
      <c r="AAA47">
        <f t="shared" si="3"/>
        <v>0</v>
      </c>
    </row>
    <row r="48" spans="702:703" x14ac:dyDescent="0.25">
      <c r="ZZ48" t="str">
        <f t="shared" si="2"/>
        <v>|</v>
      </c>
      <c r="AAA48">
        <f t="shared" si="3"/>
        <v>0</v>
      </c>
    </row>
    <row r="49" spans="702:703" x14ac:dyDescent="0.25">
      <c r="ZZ49" t="str">
        <f t="shared" si="2"/>
        <v>|</v>
      </c>
      <c r="AAA49">
        <f t="shared" si="3"/>
        <v>0</v>
      </c>
    </row>
    <row r="50" spans="702:703" x14ac:dyDescent="0.25">
      <c r="ZZ50" t="str">
        <f t="shared" si="2"/>
        <v>|</v>
      </c>
      <c r="AAA50">
        <f t="shared" si="3"/>
        <v>0</v>
      </c>
    </row>
    <row r="51" spans="702:703" x14ac:dyDescent="0.25">
      <c r="ZZ51" t="str">
        <f t="shared" si="2"/>
        <v>|</v>
      </c>
      <c r="AAA51">
        <f t="shared" si="3"/>
        <v>0</v>
      </c>
    </row>
    <row r="52" spans="702:703" x14ac:dyDescent="0.25">
      <c r="ZZ52" t="str">
        <f t="shared" si="2"/>
        <v>|</v>
      </c>
      <c r="AAA52">
        <f t="shared" si="3"/>
        <v>0</v>
      </c>
    </row>
    <row r="53" spans="702:703" x14ac:dyDescent="0.25">
      <c r="ZZ53" t="str">
        <f t="shared" si="2"/>
        <v>|</v>
      </c>
      <c r="AAA53">
        <f t="shared" si="3"/>
        <v>0</v>
      </c>
    </row>
  </sheetData>
  <pageMargins left="0.7" right="0.7" top="0.75" bottom="0.75" header="0.3" footer="0.3"/>
  <pageSetup orientation="portrait" horizontalDpi="0" verticalDpi="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AA994-7738-42D1-831C-D53652C2276F}">
  <sheetPr codeName="Sheet12"/>
  <dimension ref="A1:AAE6"/>
  <sheetViews>
    <sheetView workbookViewId="0">
      <selection activeCell="C26" sqref="C26"/>
    </sheetView>
  </sheetViews>
  <sheetFormatPr defaultColWidth="13.125" defaultRowHeight="12.75" x14ac:dyDescent="0.2"/>
  <cols>
    <col min="1" max="1" width="13.125" style="9"/>
    <col min="2" max="3" width="18.125" style="9" customWidth="1"/>
    <col min="4" max="4" width="18.625" style="9" customWidth="1"/>
    <col min="5" max="5" width="20.125" style="9" customWidth="1"/>
    <col min="6" max="6" width="24.125" style="9" customWidth="1"/>
    <col min="7" max="7" width="26.375" style="9" customWidth="1"/>
    <col min="8" max="8" width="18.125" style="23" customWidth="1"/>
    <col min="9" max="9" width="17.375" style="23" customWidth="1"/>
    <col min="10" max="10" width="19" style="23" customWidth="1"/>
    <col min="11" max="11" width="13.125" style="23"/>
    <col min="12" max="12" width="15.75" style="23" bestFit="1" customWidth="1"/>
    <col min="13" max="14" width="15.75" style="9" customWidth="1"/>
    <col min="15" max="17" width="15.75" style="23" customWidth="1"/>
    <col min="18" max="18" width="31.875" style="9" customWidth="1"/>
    <col min="19" max="19" width="13.125" style="23"/>
    <col min="20" max="20" width="15.125" style="23" customWidth="1"/>
    <col min="21" max="21" width="11.625" style="23" customWidth="1"/>
    <col min="22" max="22" width="40.125" style="9" customWidth="1"/>
    <col min="23" max="23" width="20.625" style="9" customWidth="1"/>
    <col min="24" max="24" width="18.625" style="9" customWidth="1"/>
    <col min="25" max="25" width="12.125" style="9" customWidth="1"/>
    <col min="26" max="26" width="21.625" style="9" customWidth="1"/>
    <col min="27" max="27" width="11.625" style="9" customWidth="1"/>
    <col min="28" max="28" width="17.875" style="9" customWidth="1"/>
    <col min="29" max="30" width="14.875" style="9" customWidth="1"/>
    <col min="31" max="31" width="44.875" style="9" customWidth="1"/>
    <col min="32" max="32" width="16.875" style="9" customWidth="1"/>
    <col min="33" max="33" width="12.125" style="9" customWidth="1"/>
    <col min="34" max="34" width="45.625" style="9" customWidth="1"/>
    <col min="35" max="35" width="31" style="9" customWidth="1"/>
    <col min="36" max="36" width="26.625" style="9" customWidth="1"/>
    <col min="37" max="37" width="15.625" style="9" customWidth="1"/>
    <col min="38" max="38" width="32.125" style="9" customWidth="1"/>
    <col min="39" max="39" width="13.5" style="9" customWidth="1"/>
    <col min="40" max="40" width="21.625" style="9" customWidth="1"/>
    <col min="41" max="41" width="15.125" style="9" customWidth="1"/>
    <col min="42" max="44" width="13.125" style="9"/>
    <col min="45" max="45" width="39.125" style="9" customWidth="1"/>
    <col min="46" max="46" width="25.125" style="9" customWidth="1"/>
    <col min="47" max="16384" width="13.125" style="9"/>
  </cols>
  <sheetData>
    <row r="1" spans="1:707" s="21" customFormat="1" ht="15.75" x14ac:dyDescent="0.25">
      <c r="A1" s="20" t="s">
        <v>340</v>
      </c>
      <c r="B1" s="20" t="s">
        <v>3</v>
      </c>
      <c r="C1" s="20" t="s">
        <v>5</v>
      </c>
      <c r="D1" s="20" t="s">
        <v>6</v>
      </c>
      <c r="E1" s="20" t="s">
        <v>8</v>
      </c>
      <c r="F1" s="20" t="s">
        <v>172</v>
      </c>
      <c r="G1" s="20" t="s">
        <v>326</v>
      </c>
      <c r="H1" s="22" t="s">
        <v>22</v>
      </c>
      <c r="I1" s="22" t="s">
        <v>29</v>
      </c>
      <c r="J1" s="22" t="s">
        <v>43</v>
      </c>
      <c r="K1" s="22" t="s">
        <v>50</v>
      </c>
      <c r="L1" s="22" t="s">
        <v>57</v>
      </c>
      <c r="M1" s="20" t="s">
        <v>347</v>
      </c>
      <c r="N1" s="20" t="s">
        <v>78</v>
      </c>
      <c r="O1" s="22" t="s">
        <v>71</v>
      </c>
      <c r="P1" s="22" t="s">
        <v>85</v>
      </c>
      <c r="Q1" s="22" t="s">
        <v>92</v>
      </c>
      <c r="R1" s="20" t="s">
        <v>341</v>
      </c>
      <c r="S1" s="22" t="s">
        <v>342</v>
      </c>
      <c r="T1" s="22" t="s">
        <v>343</v>
      </c>
      <c r="U1" s="22" t="s">
        <v>344</v>
      </c>
      <c r="ZZ1" s="21" t="s">
        <v>142</v>
      </c>
      <c r="AAA1" s="21" t="s">
        <v>192</v>
      </c>
      <c r="AAD1" s="21" t="s">
        <v>142</v>
      </c>
      <c r="AAE1" s="21" t="s">
        <v>192</v>
      </c>
    </row>
    <row r="2" spans="1:707" x14ac:dyDescent="0.2">
      <c r="S2" s="9"/>
      <c r="T2" s="9"/>
      <c r="U2" s="9"/>
      <c r="ZZ2" s="9" t="str">
        <f t="shared" ref="ZZ2:ZZ6" si="0">C2&amp; "|" &amp;D2</f>
        <v>|</v>
      </c>
      <c r="AAA2" s="9">
        <f t="shared" ref="AAA2:AAA6" si="1">B2</f>
        <v>0</v>
      </c>
    </row>
    <row r="3" spans="1:707" x14ac:dyDescent="0.2">
      <c r="S3" s="9"/>
      <c r="T3" s="9"/>
      <c r="U3" s="9"/>
      <c r="ZZ3" s="9" t="str">
        <f t="shared" si="0"/>
        <v>|</v>
      </c>
      <c r="AAA3" s="9">
        <f t="shared" si="1"/>
        <v>0</v>
      </c>
    </row>
    <row r="4" spans="1:707" x14ac:dyDescent="0.2">
      <c r="S4" s="9"/>
      <c r="T4" s="9"/>
      <c r="U4" s="9"/>
      <c r="ZZ4" s="9" t="str">
        <f t="shared" si="0"/>
        <v>|</v>
      </c>
      <c r="AAA4" s="9">
        <f t="shared" si="1"/>
        <v>0</v>
      </c>
    </row>
    <row r="5" spans="1:707" x14ac:dyDescent="0.2">
      <c r="S5" s="9"/>
      <c r="T5" s="9"/>
      <c r="U5" s="9"/>
      <c r="ZZ5" s="9" t="str">
        <f t="shared" si="0"/>
        <v>|</v>
      </c>
      <c r="AAA5" s="9">
        <f t="shared" si="1"/>
        <v>0</v>
      </c>
    </row>
    <row r="6" spans="1:707" x14ac:dyDescent="0.2">
      <c r="S6" s="9"/>
      <c r="T6" s="9"/>
      <c r="U6" s="9"/>
      <c r="ZZ6" s="9" t="str">
        <f t="shared" si="0"/>
        <v>|</v>
      </c>
      <c r="AAA6" s="9">
        <f t="shared" si="1"/>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7472B7-264C-432D-A5AA-8D2163E80B8E}">
  <sheetPr codeName="Sheet13"/>
  <dimension ref="A1:AAA2"/>
  <sheetViews>
    <sheetView zoomScale="85" zoomScaleNormal="85" workbookViewId="0">
      <selection activeCell="A8" sqref="A8"/>
    </sheetView>
  </sheetViews>
  <sheetFormatPr defaultColWidth="13.125" defaultRowHeight="15.75" x14ac:dyDescent="0.25"/>
  <cols>
    <col min="1" max="1" width="30" bestFit="1" customWidth="1"/>
    <col min="2" max="2" width="14" bestFit="1" customWidth="1"/>
    <col min="3" max="3" width="11.125" bestFit="1" customWidth="1"/>
    <col min="4" max="4" width="15.875" bestFit="1" customWidth="1"/>
    <col min="5" max="5" width="16.875" bestFit="1" customWidth="1"/>
    <col min="6" max="6" width="17.875" bestFit="1" customWidth="1"/>
    <col min="7" max="7" width="20.125" bestFit="1" customWidth="1"/>
    <col min="8" max="8" width="16.125" bestFit="1" customWidth="1"/>
    <col min="9" max="9" width="21.125" style="14" bestFit="1" customWidth="1"/>
    <col min="10" max="10" width="14.875" style="14" bestFit="1" customWidth="1"/>
    <col min="11" max="11" width="20.5" style="14" bestFit="1" customWidth="1"/>
    <col min="12" max="12" width="19.5" style="14" bestFit="1" customWidth="1"/>
    <col min="13" max="13" width="10.625" bestFit="1" customWidth="1"/>
    <col min="14" max="14" width="27.625" bestFit="1" customWidth="1"/>
    <col min="15" max="15" width="10.5" style="14" bestFit="1" customWidth="1"/>
    <col min="16" max="16" width="58.625" bestFit="1" customWidth="1"/>
    <col min="17" max="17" width="20.375" style="14" bestFit="1" customWidth="1"/>
    <col min="18" max="18" width="18.125" bestFit="1" customWidth="1"/>
    <col min="19" max="19" width="16.875" bestFit="1" customWidth="1"/>
    <col min="20" max="20" width="39.625" bestFit="1" customWidth="1"/>
  </cols>
  <sheetData>
    <row r="1" spans="1:703" x14ac:dyDescent="0.25">
      <c r="A1" s="7" t="s">
        <v>143</v>
      </c>
      <c r="B1" s="7" t="s">
        <v>5</v>
      </c>
      <c r="C1" s="7" t="s">
        <v>144</v>
      </c>
      <c r="D1" s="7" t="s">
        <v>6</v>
      </c>
      <c r="E1" s="7" t="s">
        <v>8</v>
      </c>
      <c r="F1" s="7" t="s">
        <v>145</v>
      </c>
      <c r="G1" s="7" t="s">
        <v>146</v>
      </c>
      <c r="H1" s="7" t="s">
        <v>147</v>
      </c>
      <c r="I1" s="8" t="s">
        <v>320</v>
      </c>
      <c r="J1" s="8" t="s">
        <v>22</v>
      </c>
      <c r="K1" s="8" t="s">
        <v>36</v>
      </c>
      <c r="L1" s="8" t="s">
        <v>338</v>
      </c>
      <c r="M1" s="7" t="s">
        <v>149</v>
      </c>
      <c r="N1" s="7" t="s">
        <v>15</v>
      </c>
      <c r="O1" s="8" t="s">
        <v>43</v>
      </c>
      <c r="P1" s="7" t="s">
        <v>153</v>
      </c>
      <c r="Q1" s="8" t="s">
        <v>154</v>
      </c>
      <c r="R1" s="7" t="s">
        <v>155</v>
      </c>
      <c r="S1" s="7" t="s">
        <v>156</v>
      </c>
      <c r="T1" s="7" t="s">
        <v>157</v>
      </c>
      <c r="ZZ1" t="s">
        <v>142</v>
      </c>
      <c r="AAA1" t="s">
        <v>192</v>
      </c>
    </row>
    <row r="2" spans="1:703" x14ac:dyDescent="0.25">
      <c r="ZZ2" t="str">
        <f t="shared" ref="ZZ2" si="0">B3&amp; "|" &amp;D3</f>
        <v>|</v>
      </c>
    </row>
  </sheetData>
  <autoFilter ref="A1:T1" xr:uid="{0B7472B7-264C-432D-A5AA-8D2163E80B8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944816-808B-495C-B588-095C6FEC2B6F}">
  <sheetPr codeName="Sheet1"/>
  <dimension ref="A1:AAA38"/>
  <sheetViews>
    <sheetView zoomScaleNormal="100" workbookViewId="0">
      <selection activeCell="A2" sqref="A2:XFD30"/>
    </sheetView>
  </sheetViews>
  <sheetFormatPr defaultColWidth="8.875" defaultRowHeight="15.75" x14ac:dyDescent="0.25"/>
  <cols>
    <col min="1" max="1" width="17.375" bestFit="1" customWidth="1"/>
    <col min="2" max="2" width="18" bestFit="1" customWidth="1"/>
    <col min="3" max="3" width="43.875" customWidth="1"/>
    <col min="4" max="4" width="12" bestFit="1" customWidth="1"/>
    <col min="5" max="5" width="29.125" bestFit="1" customWidth="1"/>
    <col min="6" max="6" width="8.125" bestFit="1" customWidth="1"/>
    <col min="7" max="7" width="4.875" bestFit="1" customWidth="1"/>
    <col min="8" max="8" width="6.625" bestFit="1" customWidth="1"/>
    <col min="9" max="9" width="8.375" bestFit="1" customWidth="1"/>
    <col min="10" max="10" width="9.375" bestFit="1" customWidth="1"/>
    <col min="11" max="11" width="8.625" bestFit="1" customWidth="1"/>
    <col min="12" max="12" width="15.125" bestFit="1" customWidth="1"/>
    <col min="13" max="13" width="17.125" bestFit="1" customWidth="1"/>
    <col min="14" max="14" width="20.875" bestFit="1" customWidth="1"/>
    <col min="15" max="15" width="15.125" bestFit="1" customWidth="1"/>
    <col min="16" max="16" width="9.125" bestFit="1" customWidth="1"/>
    <col min="17" max="17" width="14.125" bestFit="1" customWidth="1"/>
    <col min="18" max="18" width="11.625" bestFit="1" customWidth="1"/>
    <col min="19" max="19" width="8.625" bestFit="1" customWidth="1"/>
    <col min="20" max="20" width="12.625" bestFit="1" customWidth="1"/>
    <col min="21" max="21" width="7.625" bestFit="1" customWidth="1"/>
    <col min="22" max="22" width="17.125" bestFit="1" customWidth="1"/>
    <col min="46" max="46" width="9.5" bestFit="1" customWidth="1"/>
    <col min="98" max="98" width="8.875" style="14"/>
  </cols>
  <sheetData>
    <row r="1" spans="1:703" x14ac:dyDescent="0.25">
      <c r="A1" t="s">
        <v>194</v>
      </c>
      <c r="B1" t="s">
        <v>195</v>
      </c>
      <c r="C1" t="s">
        <v>196</v>
      </c>
      <c r="D1" t="s">
        <v>197</v>
      </c>
      <c r="E1" t="s">
        <v>198</v>
      </c>
      <c r="F1" t="s">
        <v>199</v>
      </c>
      <c r="G1" t="s">
        <v>200</v>
      </c>
      <c r="H1" t="s">
        <v>201</v>
      </c>
      <c r="I1" t="s">
        <v>202</v>
      </c>
      <c r="J1" t="s">
        <v>203</v>
      </c>
      <c r="K1" t="s">
        <v>204</v>
      </c>
      <c r="L1" t="s">
        <v>205</v>
      </c>
      <c r="M1" t="s">
        <v>206</v>
      </c>
      <c r="N1" t="s">
        <v>207</v>
      </c>
      <c r="O1" t="s">
        <v>208</v>
      </c>
      <c r="P1" t="s">
        <v>209</v>
      </c>
      <c r="Q1" t="s">
        <v>210</v>
      </c>
      <c r="R1" t="s">
        <v>211</v>
      </c>
      <c r="S1" t="s">
        <v>212</v>
      </c>
      <c r="T1" t="s">
        <v>213</v>
      </c>
      <c r="U1" t="s">
        <v>214</v>
      </c>
      <c r="V1" t="s">
        <v>215</v>
      </c>
      <c r="W1" t="s">
        <v>216</v>
      </c>
      <c r="X1" t="s">
        <v>217</v>
      </c>
      <c r="Y1" t="s">
        <v>218</v>
      </c>
      <c r="Z1" t="s">
        <v>219</v>
      </c>
      <c r="AA1" t="s">
        <v>220</v>
      </c>
      <c r="AB1" t="s">
        <v>221</v>
      </c>
      <c r="AC1" t="s">
        <v>222</v>
      </c>
      <c r="AD1" t="s">
        <v>223</v>
      </c>
      <c r="AE1" t="s">
        <v>224</v>
      </c>
      <c r="AF1" t="s">
        <v>225</v>
      </c>
      <c r="AG1" t="s">
        <v>226</v>
      </c>
      <c r="AH1" t="s">
        <v>227</v>
      </c>
      <c r="AI1" t="s">
        <v>5</v>
      </c>
      <c r="AJ1" t="s">
        <v>228</v>
      </c>
      <c r="AK1" t="s">
        <v>229</v>
      </c>
      <c r="AL1" t="s">
        <v>230</v>
      </c>
      <c r="AM1" t="s">
        <v>231</v>
      </c>
      <c r="AN1" t="s">
        <v>232</v>
      </c>
      <c r="AO1" t="s">
        <v>233</v>
      </c>
      <c r="AP1" t="s">
        <v>234</v>
      </c>
      <c r="AQ1" t="s">
        <v>235</v>
      </c>
      <c r="AR1" t="s">
        <v>236</v>
      </c>
      <c r="AS1" t="s">
        <v>237</v>
      </c>
      <c r="AT1" t="s">
        <v>238</v>
      </c>
      <c r="AU1" t="s">
        <v>239</v>
      </c>
      <c r="AV1" t="s">
        <v>240</v>
      </c>
      <c r="AW1" t="s">
        <v>241</v>
      </c>
      <c r="AX1" t="s">
        <v>242</v>
      </c>
      <c r="AY1" t="s">
        <v>243</v>
      </c>
      <c r="AZ1" t="s">
        <v>244</v>
      </c>
      <c r="BA1" t="s">
        <v>245</v>
      </c>
      <c r="BB1" t="s">
        <v>246</v>
      </c>
      <c r="BC1" t="s">
        <v>247</v>
      </c>
      <c r="BD1" t="s">
        <v>248</v>
      </c>
      <c r="BE1" t="s">
        <v>249</v>
      </c>
      <c r="BF1" t="s">
        <v>250</v>
      </c>
      <c r="BG1" t="s">
        <v>251</v>
      </c>
      <c r="BH1" t="s">
        <v>252</v>
      </c>
      <c r="BI1" t="s">
        <v>253</v>
      </c>
      <c r="BJ1" t="s">
        <v>254</v>
      </c>
      <c r="BK1" t="s">
        <v>8</v>
      </c>
      <c r="BL1" t="s">
        <v>6</v>
      </c>
      <c r="BM1" t="s">
        <v>255</v>
      </c>
      <c r="BN1" t="s">
        <v>256</v>
      </c>
      <c r="BO1" t="s">
        <v>169</v>
      </c>
      <c r="BP1" t="s">
        <v>257</v>
      </c>
      <c r="BQ1" t="s">
        <v>157</v>
      </c>
      <c r="BR1" t="s">
        <v>258</v>
      </c>
      <c r="BS1" t="s">
        <v>259</v>
      </c>
      <c r="BT1" t="s">
        <v>149</v>
      </c>
      <c r="BU1" t="s">
        <v>260</v>
      </c>
      <c r="BV1" t="s">
        <v>15</v>
      </c>
      <c r="BW1" t="s">
        <v>150</v>
      </c>
      <c r="BX1" t="s">
        <v>261</v>
      </c>
      <c r="BY1" t="s">
        <v>262</v>
      </c>
      <c r="BZ1" t="s">
        <v>263</v>
      </c>
      <c r="CA1" t="s">
        <v>264</v>
      </c>
      <c r="CB1" t="s">
        <v>265</v>
      </c>
      <c r="CC1" t="s">
        <v>266</v>
      </c>
      <c r="CD1" t="s">
        <v>267</v>
      </c>
      <c r="CE1" t="s">
        <v>268</v>
      </c>
      <c r="CF1" t="s">
        <v>269</v>
      </c>
      <c r="CG1" t="s">
        <v>270</v>
      </c>
      <c r="CH1" t="s">
        <v>271</v>
      </c>
      <c r="CI1" t="s">
        <v>272</v>
      </c>
      <c r="CJ1" t="s">
        <v>273</v>
      </c>
      <c r="CK1" t="s">
        <v>274</v>
      </c>
      <c r="CL1" t="s">
        <v>275</v>
      </c>
      <c r="CM1" t="s">
        <v>276</v>
      </c>
      <c r="CN1" t="s">
        <v>277</v>
      </c>
      <c r="CO1" t="s">
        <v>278</v>
      </c>
      <c r="CP1" t="s">
        <v>148</v>
      </c>
      <c r="CQ1" t="s">
        <v>320</v>
      </c>
      <c r="CR1" t="s">
        <v>22</v>
      </c>
      <c r="CS1" t="s">
        <v>29</v>
      </c>
      <c r="CT1" s="14" t="s">
        <v>279</v>
      </c>
      <c r="CU1" t="s">
        <v>280</v>
      </c>
      <c r="CV1" t="s">
        <v>281</v>
      </c>
      <c r="CW1" t="s">
        <v>282</v>
      </c>
      <c r="CX1" t="s">
        <v>281</v>
      </c>
      <c r="CY1" t="s">
        <v>283</v>
      </c>
      <c r="CZ1" t="s">
        <v>281</v>
      </c>
      <c r="DA1" t="s">
        <v>284</v>
      </c>
      <c r="DB1" t="s">
        <v>285</v>
      </c>
      <c r="DC1" t="s">
        <v>286</v>
      </c>
      <c r="DD1" t="s">
        <v>287</v>
      </c>
      <c r="DE1" t="s">
        <v>288</v>
      </c>
      <c r="DF1" t="s">
        <v>289</v>
      </c>
      <c r="DG1" t="s">
        <v>290</v>
      </c>
      <c r="DH1" t="s">
        <v>291</v>
      </c>
      <c r="DI1" t="s">
        <v>292</v>
      </c>
      <c r="DJ1" t="s">
        <v>293</v>
      </c>
      <c r="DK1" t="s">
        <v>294</v>
      </c>
      <c r="DL1" t="s">
        <v>295</v>
      </c>
      <c r="DM1" t="s">
        <v>296</v>
      </c>
      <c r="DN1" t="s">
        <v>297</v>
      </c>
      <c r="DO1" t="s">
        <v>298</v>
      </c>
      <c r="DP1" t="s">
        <v>299</v>
      </c>
      <c r="DQ1" t="s">
        <v>300</v>
      </c>
      <c r="DR1" t="s">
        <v>301</v>
      </c>
      <c r="DS1" t="s">
        <v>302</v>
      </c>
      <c r="DT1" t="s">
        <v>303</v>
      </c>
      <c r="DU1" t="s">
        <v>304</v>
      </c>
      <c r="DV1" t="s">
        <v>305</v>
      </c>
      <c r="DW1" t="s">
        <v>306</v>
      </c>
      <c r="DX1" t="s">
        <v>307</v>
      </c>
      <c r="DY1" t="s">
        <v>308</v>
      </c>
      <c r="DZ1" t="s">
        <v>309</v>
      </c>
      <c r="EA1" t="s">
        <v>310</v>
      </c>
      <c r="EB1" t="s">
        <v>311</v>
      </c>
      <c r="EC1" t="s">
        <v>312</v>
      </c>
      <c r="ED1" t="s">
        <v>313</v>
      </c>
      <c r="EE1" t="s">
        <v>314</v>
      </c>
      <c r="EF1" t="s">
        <v>315</v>
      </c>
      <c r="EG1" t="s">
        <v>316</v>
      </c>
      <c r="ZZ1" t="s">
        <v>142</v>
      </c>
      <c r="AAA1" t="s">
        <v>192</v>
      </c>
    </row>
    <row r="2" spans="1:703" x14ac:dyDescent="0.25">
      <c r="S2" s="18"/>
      <c r="AN2" s="18"/>
      <c r="AT2" s="18"/>
      <c r="AU2" s="18"/>
      <c r="AV2" s="18"/>
      <c r="AX2" s="18"/>
      <c r="AY2" s="18"/>
      <c r="BA2" s="18"/>
      <c r="BF2" s="18"/>
      <c r="BH2" s="18"/>
      <c r="CE2" s="19"/>
      <c r="CF2" s="19"/>
      <c r="CI2" s="19"/>
      <c r="CJ2" s="19"/>
      <c r="CP2" s="14"/>
      <c r="CQ2" s="19"/>
      <c r="CR2" s="14"/>
      <c r="CS2" s="19"/>
      <c r="DZ2" s="19"/>
      <c r="EB2" s="19"/>
      <c r="ZZ2" t="str">
        <f t="shared" ref="ZZ2" si="0">AI3&amp; "|" &amp;BL3</f>
        <v>|</v>
      </c>
    </row>
    <row r="3" spans="1:703" x14ac:dyDescent="0.25">
      <c r="S3" s="18"/>
      <c r="AN3" s="18"/>
      <c r="AT3" s="18"/>
      <c r="AU3" s="18"/>
      <c r="AV3" s="18"/>
      <c r="AW3" s="18"/>
      <c r="AX3" s="18"/>
      <c r="AY3" s="18"/>
      <c r="BA3" s="18"/>
      <c r="BF3" s="18"/>
      <c r="BH3" s="18"/>
      <c r="CE3" s="19"/>
      <c r="CF3" s="19"/>
      <c r="CI3" s="19"/>
      <c r="CJ3" s="19"/>
      <c r="CP3" s="19"/>
      <c r="CQ3" s="19"/>
      <c r="CR3" s="19"/>
      <c r="CS3" s="19"/>
      <c r="DZ3" s="19"/>
      <c r="EB3" s="19"/>
    </row>
    <row r="4" spans="1:703" x14ac:dyDescent="0.25">
      <c r="S4" s="18"/>
      <c r="AN4" s="18"/>
      <c r="AT4" s="18"/>
      <c r="AU4" s="18"/>
      <c r="AV4" s="18"/>
      <c r="AW4" s="18"/>
      <c r="AX4" s="18"/>
      <c r="AY4" s="18"/>
      <c r="BA4" s="18"/>
      <c r="BF4" s="18"/>
      <c r="BH4" s="18"/>
      <c r="CE4" s="19"/>
      <c r="CF4" s="19"/>
      <c r="CI4" s="19"/>
      <c r="CJ4" s="19"/>
      <c r="CP4" s="19"/>
      <c r="CQ4" s="19"/>
      <c r="CR4" s="19"/>
      <c r="CS4" s="19"/>
      <c r="DZ4" s="19"/>
      <c r="EB4" s="19"/>
    </row>
    <row r="5" spans="1:703" x14ac:dyDescent="0.25">
      <c r="S5" s="18"/>
      <c r="AN5" s="18"/>
      <c r="AT5" s="18"/>
      <c r="AU5" s="18"/>
      <c r="AV5" s="18"/>
      <c r="AW5" s="18"/>
      <c r="AX5" s="18"/>
      <c r="AY5" s="18"/>
      <c r="BA5" s="18"/>
      <c r="BF5" s="18"/>
      <c r="BH5" s="18"/>
      <c r="CE5" s="19"/>
      <c r="CF5" s="19"/>
      <c r="CI5" s="19"/>
      <c r="CJ5" s="19"/>
      <c r="CP5" s="19"/>
      <c r="CQ5" s="19"/>
      <c r="CR5" s="19"/>
      <c r="CS5" s="19"/>
      <c r="DZ5" s="19"/>
      <c r="EB5" s="19"/>
    </row>
    <row r="6" spans="1:703" x14ac:dyDescent="0.25">
      <c r="S6" s="18"/>
      <c r="AN6" s="18"/>
      <c r="AT6" s="18"/>
      <c r="AU6" s="18"/>
      <c r="AV6" s="18"/>
      <c r="AX6" s="18"/>
      <c r="AY6" s="18"/>
      <c r="BA6" s="18"/>
      <c r="BF6" s="18"/>
      <c r="BH6" s="18"/>
      <c r="CE6" s="19"/>
      <c r="CF6" s="19"/>
      <c r="CI6" s="19"/>
      <c r="CJ6" s="19"/>
      <c r="CP6" s="19"/>
      <c r="CQ6" s="19"/>
      <c r="CR6" s="19"/>
      <c r="CS6" s="19"/>
      <c r="DZ6" s="19"/>
      <c r="EB6" s="19"/>
    </row>
    <row r="7" spans="1:703" x14ac:dyDescent="0.25">
      <c r="S7" s="18"/>
      <c r="AN7" s="18"/>
      <c r="AT7" s="18"/>
      <c r="AU7" s="18"/>
      <c r="AV7" s="18"/>
      <c r="AX7" s="18"/>
      <c r="AY7" s="18"/>
      <c r="BA7" s="18"/>
      <c r="BF7" s="18"/>
      <c r="BH7" s="18"/>
      <c r="CE7" s="19"/>
      <c r="CF7" s="19"/>
      <c r="CI7" s="19"/>
      <c r="CJ7" s="19"/>
      <c r="CP7" s="19"/>
      <c r="CQ7" s="19"/>
      <c r="CR7" s="19"/>
      <c r="CS7" s="19"/>
      <c r="DZ7" s="19"/>
      <c r="EB7" s="19"/>
    </row>
    <row r="8" spans="1:703" x14ac:dyDescent="0.25">
      <c r="S8" s="18"/>
      <c r="AN8" s="18"/>
      <c r="AT8" s="18"/>
      <c r="AU8" s="18"/>
      <c r="AV8" s="18"/>
      <c r="AX8" s="18"/>
      <c r="AY8" s="18"/>
      <c r="BA8" s="18"/>
      <c r="BF8" s="18"/>
      <c r="BH8" s="18"/>
      <c r="CE8" s="19"/>
      <c r="CF8" s="19"/>
      <c r="CI8" s="19"/>
      <c r="CJ8" s="19"/>
      <c r="CP8" s="14"/>
      <c r="CQ8" s="19"/>
      <c r="CR8" s="19"/>
      <c r="CS8" s="19"/>
      <c r="DZ8" s="19"/>
      <c r="EB8" s="19"/>
    </row>
    <row r="9" spans="1:703" x14ac:dyDescent="0.25">
      <c r="S9" s="18"/>
      <c r="AN9" s="18"/>
      <c r="AT9" s="18"/>
      <c r="AU9" s="18"/>
      <c r="AV9" s="18"/>
      <c r="AX9" s="18"/>
      <c r="AY9" s="18"/>
      <c r="BA9" s="18"/>
      <c r="BF9" s="18"/>
      <c r="BH9" s="18"/>
      <c r="CE9" s="14"/>
      <c r="CF9" s="19"/>
      <c r="CI9" s="19"/>
      <c r="CJ9" s="19"/>
      <c r="CP9" s="14"/>
      <c r="CQ9" s="19"/>
      <c r="CR9" s="19"/>
      <c r="CS9" s="19"/>
      <c r="DZ9" s="19"/>
      <c r="EB9" s="19"/>
    </row>
    <row r="10" spans="1:703" x14ac:dyDescent="0.25">
      <c r="S10" s="18"/>
      <c r="AN10" s="18"/>
      <c r="AT10" s="18"/>
      <c r="AU10" s="18"/>
      <c r="AV10" s="18"/>
      <c r="AX10" s="18"/>
      <c r="AY10" s="18"/>
      <c r="BA10" s="18"/>
      <c r="BH10" s="18"/>
      <c r="CE10" s="14"/>
      <c r="CF10" s="19"/>
      <c r="CI10" s="19"/>
      <c r="CJ10" s="19"/>
      <c r="CP10" s="14"/>
      <c r="CQ10" s="19"/>
      <c r="CR10" s="19"/>
      <c r="CS10" s="19"/>
      <c r="DZ10" s="19"/>
      <c r="EB10" s="19"/>
    </row>
    <row r="11" spans="1:703" x14ac:dyDescent="0.25">
      <c r="S11" s="18"/>
      <c r="AN11" s="18"/>
      <c r="AT11" s="18"/>
      <c r="AU11" s="18"/>
      <c r="AV11" s="18"/>
      <c r="AX11" s="18"/>
      <c r="AY11" s="18"/>
      <c r="BA11" s="18"/>
      <c r="BF11" s="18"/>
      <c r="BH11" s="18"/>
      <c r="CE11" s="14"/>
      <c r="CF11" s="19"/>
      <c r="CI11" s="19"/>
      <c r="CJ11" s="19"/>
      <c r="CP11" s="14"/>
      <c r="CQ11" s="19"/>
      <c r="CR11" s="19"/>
      <c r="CS11" s="19"/>
      <c r="DZ11" s="19"/>
      <c r="EB11" s="19"/>
    </row>
    <row r="12" spans="1:703" x14ac:dyDescent="0.25">
      <c r="S12" s="18"/>
      <c r="AN12" s="18"/>
      <c r="AT12" s="18"/>
      <c r="AU12" s="18"/>
      <c r="AV12" s="18"/>
      <c r="AX12" s="18"/>
      <c r="AY12" s="18"/>
      <c r="BA12" s="18"/>
      <c r="BF12" s="18"/>
      <c r="BH12" s="18"/>
      <c r="CE12" s="14"/>
      <c r="CF12" s="19"/>
      <c r="CI12" s="19"/>
      <c r="CJ12" s="19"/>
      <c r="CP12" s="14"/>
      <c r="CQ12" s="19"/>
      <c r="CR12" s="19"/>
      <c r="CS12" s="19"/>
      <c r="DZ12" s="19"/>
      <c r="EB12" s="19"/>
    </row>
    <row r="13" spans="1:703" x14ac:dyDescent="0.25">
      <c r="S13" s="18"/>
      <c r="AN13" s="18"/>
      <c r="AT13" s="18"/>
      <c r="AU13" s="18"/>
      <c r="AV13" s="18"/>
      <c r="AX13" s="18"/>
      <c r="AY13" s="18"/>
      <c r="BA13" s="18"/>
      <c r="BF13" s="18"/>
      <c r="BH13" s="18"/>
      <c r="CE13" s="14"/>
      <c r="CF13" s="19"/>
      <c r="CI13" s="19"/>
      <c r="CJ13" s="19"/>
      <c r="CP13" s="14"/>
      <c r="CQ13" s="19"/>
      <c r="CR13" s="19"/>
      <c r="CS13" s="19"/>
      <c r="DZ13" s="19"/>
      <c r="EB13" s="19"/>
    </row>
    <row r="14" spans="1:703" x14ac:dyDescent="0.25">
      <c r="S14" s="18"/>
      <c r="AN14" s="18"/>
      <c r="AT14" s="18"/>
      <c r="AU14" s="18"/>
      <c r="AV14" s="18"/>
      <c r="AX14" s="18"/>
      <c r="AY14" s="18"/>
      <c r="BA14" s="18"/>
      <c r="BF14" s="18"/>
      <c r="BH14" s="18"/>
      <c r="CE14" s="14"/>
      <c r="CF14" s="19"/>
      <c r="CI14" s="19"/>
      <c r="CJ14" s="19"/>
      <c r="CP14" s="14"/>
      <c r="CQ14" s="19"/>
      <c r="CR14" s="19"/>
      <c r="CS14" s="19"/>
      <c r="DZ14" s="19"/>
      <c r="EB14" s="19"/>
    </row>
    <row r="15" spans="1:703" x14ac:dyDescent="0.25">
      <c r="S15" s="18"/>
      <c r="AN15" s="18"/>
      <c r="AT15" s="18"/>
      <c r="AU15" s="18"/>
      <c r="AV15" s="18"/>
      <c r="AW15" s="18"/>
      <c r="AX15" s="18"/>
      <c r="AY15" s="18"/>
      <c r="BA15" s="18"/>
      <c r="BF15" s="18"/>
      <c r="BH15" s="18"/>
      <c r="CE15" s="14"/>
      <c r="CF15" s="19"/>
      <c r="CI15" s="19"/>
      <c r="CJ15" s="19"/>
      <c r="CP15" s="14"/>
      <c r="CQ15" s="19"/>
      <c r="CR15" s="19"/>
      <c r="CS15" s="19"/>
      <c r="DZ15" s="19"/>
      <c r="EB15" s="19"/>
    </row>
    <row r="16" spans="1:703" x14ac:dyDescent="0.25">
      <c r="S16" s="18"/>
      <c r="AN16" s="18"/>
      <c r="AT16" s="18"/>
      <c r="AU16" s="18"/>
      <c r="AV16" s="18"/>
      <c r="AW16" s="18"/>
      <c r="AX16" s="18"/>
      <c r="AY16" s="18"/>
      <c r="BA16" s="18"/>
      <c r="BH16" s="18"/>
      <c r="CE16" s="19"/>
      <c r="CF16" s="19"/>
      <c r="CI16" s="19"/>
      <c r="CJ16" s="19"/>
      <c r="CP16" s="14"/>
      <c r="CQ16" s="19"/>
      <c r="CR16" s="19"/>
      <c r="CS16" s="19"/>
      <c r="DZ16" s="19"/>
      <c r="EB16" s="19"/>
    </row>
    <row r="17" spans="19:132" x14ac:dyDescent="0.25">
      <c r="S17" s="18"/>
      <c r="AN17" s="18"/>
      <c r="AT17" s="18"/>
      <c r="AU17" s="18"/>
      <c r="AV17" s="18"/>
      <c r="AW17" s="18"/>
      <c r="AX17" s="18"/>
      <c r="AY17" s="18"/>
      <c r="BA17" s="18"/>
      <c r="BH17" s="18"/>
      <c r="CE17" s="19"/>
      <c r="CF17" s="19"/>
      <c r="CI17" s="19"/>
      <c r="CJ17" s="19"/>
      <c r="CP17" s="14"/>
      <c r="CQ17" s="19"/>
      <c r="CR17" s="19"/>
      <c r="CS17" s="19"/>
      <c r="DZ17" s="19"/>
      <c r="EB17" s="19"/>
    </row>
    <row r="18" spans="19:132" x14ac:dyDescent="0.25">
      <c r="S18" s="18"/>
      <c r="AN18" s="18"/>
      <c r="AT18" s="18"/>
      <c r="AU18" s="18"/>
      <c r="AV18" s="18"/>
      <c r="AW18" s="18"/>
      <c r="AX18" s="18"/>
      <c r="AY18" s="18"/>
      <c r="BA18" s="18"/>
      <c r="BH18" s="18"/>
      <c r="CE18" s="19"/>
      <c r="CF18" s="19"/>
      <c r="CI18" s="19"/>
      <c r="CJ18" s="19"/>
      <c r="CP18" s="14"/>
      <c r="CQ18" s="19"/>
      <c r="CR18" s="19"/>
      <c r="CS18" s="19"/>
      <c r="DZ18" s="19"/>
      <c r="EB18" s="19"/>
    </row>
    <row r="19" spans="19:132" x14ac:dyDescent="0.25">
      <c r="S19" s="18"/>
      <c r="AN19" s="18"/>
      <c r="AT19" s="18"/>
      <c r="AU19" s="18"/>
      <c r="AV19" s="18"/>
      <c r="AW19" s="18"/>
      <c r="AX19" s="18"/>
      <c r="AY19" s="18"/>
      <c r="BA19" s="18"/>
      <c r="BH19" s="18"/>
      <c r="CE19" s="14"/>
      <c r="CF19" s="19"/>
      <c r="CI19" s="19"/>
      <c r="CJ19" s="19"/>
      <c r="CP19" s="14"/>
      <c r="CQ19" s="19"/>
      <c r="CR19" s="19"/>
      <c r="CS19" s="19"/>
      <c r="DZ19" s="19"/>
      <c r="EB19" s="19"/>
    </row>
    <row r="20" spans="19:132" x14ac:dyDescent="0.25">
      <c r="S20" s="18"/>
      <c r="AN20" s="18"/>
      <c r="AT20" s="18"/>
      <c r="AU20" s="18"/>
      <c r="AV20" s="18"/>
      <c r="AW20" s="18"/>
      <c r="AX20" s="18"/>
      <c r="AY20" s="18"/>
      <c r="BA20" s="18"/>
      <c r="BH20" s="18"/>
      <c r="CE20" s="19"/>
      <c r="CF20" s="19"/>
      <c r="CI20" s="19"/>
      <c r="CJ20" s="19"/>
      <c r="CP20" s="19"/>
      <c r="CQ20" s="19"/>
      <c r="CR20" s="19"/>
      <c r="CS20" s="19"/>
      <c r="DZ20" s="19"/>
      <c r="EB20" s="19"/>
    </row>
    <row r="21" spans="19:132" x14ac:dyDescent="0.25">
      <c r="S21" s="18"/>
      <c r="AN21" s="18"/>
      <c r="AT21" s="18"/>
      <c r="AU21" s="18"/>
      <c r="AV21" s="18"/>
      <c r="AW21" s="18"/>
      <c r="AX21" s="18"/>
      <c r="AY21" s="18"/>
      <c r="BA21" s="18"/>
      <c r="BH21" s="18"/>
      <c r="CE21" s="19"/>
      <c r="CF21" s="19"/>
      <c r="CI21" s="19"/>
      <c r="CJ21" s="19"/>
      <c r="CP21" s="19"/>
      <c r="CQ21" s="19"/>
      <c r="CR21" s="19"/>
      <c r="CS21" s="19"/>
      <c r="DZ21" s="19"/>
      <c r="EB21" s="19"/>
    </row>
    <row r="22" spans="19:132" x14ac:dyDescent="0.25">
      <c r="S22" s="18"/>
      <c r="AN22" s="18"/>
      <c r="AT22" s="18"/>
      <c r="AU22" s="18"/>
      <c r="AV22" s="18"/>
      <c r="AX22" s="18"/>
      <c r="AY22" s="18"/>
      <c r="BA22" s="18"/>
      <c r="BH22" s="18"/>
      <c r="CE22" s="14"/>
      <c r="CF22" s="19"/>
      <c r="CI22" s="19"/>
      <c r="CJ22" s="19"/>
      <c r="CP22" s="14"/>
      <c r="CQ22" s="19"/>
      <c r="CR22" s="19"/>
      <c r="CS22" s="19"/>
      <c r="DZ22" s="19"/>
      <c r="EB22" s="19"/>
    </row>
    <row r="23" spans="19:132" x14ac:dyDescent="0.25">
      <c r="S23" s="18"/>
      <c r="AN23" s="18"/>
      <c r="AT23" s="18"/>
      <c r="AU23" s="18"/>
      <c r="AV23" s="18"/>
      <c r="AX23" s="18"/>
      <c r="AY23" s="18"/>
      <c r="BA23" s="18"/>
      <c r="BH23" s="18"/>
      <c r="CE23" s="14"/>
      <c r="CF23" s="19"/>
      <c r="CI23" s="19"/>
      <c r="CJ23" s="19"/>
      <c r="CP23" s="14"/>
      <c r="CQ23" s="19"/>
      <c r="CR23" s="19"/>
      <c r="CS23" s="19"/>
      <c r="DZ23" s="19"/>
      <c r="EB23" s="19"/>
    </row>
    <row r="24" spans="19:132" x14ac:dyDescent="0.25">
      <c r="S24" s="18"/>
      <c r="AN24" s="18"/>
      <c r="AT24" s="18"/>
      <c r="AU24" s="18"/>
      <c r="AV24" s="18"/>
      <c r="AX24" s="18"/>
      <c r="AY24" s="18"/>
      <c r="BA24" s="18"/>
      <c r="CE24" s="14"/>
      <c r="CF24" s="19"/>
      <c r="CI24" s="19"/>
      <c r="CJ24" s="19"/>
      <c r="CP24" s="14"/>
      <c r="CQ24" s="19"/>
      <c r="CR24" s="19"/>
      <c r="CS24" s="19"/>
      <c r="DZ24" s="19"/>
      <c r="EB24" s="19"/>
    </row>
    <row r="25" spans="19:132" x14ac:dyDescent="0.25">
      <c r="S25" s="18"/>
      <c r="AN25" s="18"/>
      <c r="AT25" s="18"/>
      <c r="AU25" s="18"/>
      <c r="AV25" s="18"/>
      <c r="AX25" s="18"/>
      <c r="AY25" s="18"/>
      <c r="CE25" s="19"/>
      <c r="CF25" s="19"/>
      <c r="CI25" s="19"/>
      <c r="CJ25" s="19"/>
      <c r="CP25" s="14"/>
      <c r="CQ25" s="19"/>
      <c r="CR25" s="19"/>
      <c r="CS25" s="19"/>
      <c r="DZ25" s="19"/>
      <c r="EB25" s="19"/>
    </row>
    <row r="26" spans="19:132" x14ac:dyDescent="0.25">
      <c r="S26" s="18"/>
      <c r="AN26" s="18"/>
      <c r="AT26" s="18"/>
      <c r="AU26" s="18"/>
      <c r="CE26" s="14"/>
      <c r="CF26" s="19"/>
      <c r="CI26" s="19"/>
      <c r="CP26" s="14"/>
      <c r="CQ26" s="19"/>
      <c r="CR26" s="19"/>
      <c r="DZ26" s="19"/>
      <c r="EB26" s="19"/>
    </row>
    <row r="27" spans="19:132" x14ac:dyDescent="0.25">
      <c r="S27" s="18"/>
      <c r="AN27" s="18"/>
      <c r="AT27" s="18"/>
      <c r="AU27" s="18"/>
      <c r="CE27" s="14"/>
      <c r="CF27" s="19"/>
      <c r="CI27" s="19"/>
      <c r="CP27" s="14"/>
      <c r="CQ27" s="19"/>
      <c r="CR27" s="19"/>
      <c r="DZ27" s="19"/>
      <c r="EB27" s="19"/>
    </row>
    <row r="28" spans="19:132" x14ac:dyDescent="0.25">
      <c r="S28" s="18"/>
      <c r="AN28" s="18"/>
      <c r="AT28" s="18"/>
      <c r="AU28" s="18"/>
      <c r="CE28" s="14"/>
      <c r="CF28" s="19"/>
      <c r="CI28" s="19"/>
      <c r="CP28" s="14"/>
      <c r="CQ28" s="19"/>
      <c r="CR28" s="19"/>
      <c r="DZ28" s="19"/>
      <c r="EB28" s="19"/>
    </row>
    <row r="29" spans="19:132" x14ac:dyDescent="0.25">
      <c r="S29" s="18"/>
      <c r="AN29" s="18"/>
      <c r="AT29" s="18"/>
      <c r="AU29" s="18"/>
      <c r="CE29" s="14"/>
      <c r="CF29" s="19"/>
      <c r="CI29" s="19"/>
      <c r="CP29" s="14"/>
      <c r="CQ29" s="19"/>
      <c r="CR29" s="19"/>
      <c r="DZ29" s="19"/>
      <c r="EB29" s="19"/>
    </row>
    <row r="30" spans="19:132" x14ac:dyDescent="0.25">
      <c r="AN30" s="18"/>
      <c r="AT30" s="18"/>
      <c r="AU30" s="18"/>
      <c r="CE30" s="14"/>
      <c r="CF30" s="19"/>
      <c r="CI30" s="14"/>
      <c r="CP30" s="14"/>
      <c r="CQ30" s="19"/>
      <c r="CR30" s="14"/>
      <c r="DZ30" s="19"/>
      <c r="EB30" s="19"/>
    </row>
    <row r="31" spans="19:132" x14ac:dyDescent="0.25">
      <c r="AN31" s="18"/>
      <c r="AT31" s="18"/>
      <c r="AU31" s="18"/>
      <c r="CE31" s="14"/>
      <c r="CF31" s="19"/>
      <c r="CI31" s="19"/>
      <c r="CP31" s="14"/>
      <c r="CR31" s="19"/>
      <c r="DZ31" s="19"/>
      <c r="EB31" s="19"/>
    </row>
    <row r="32" spans="19:132" x14ac:dyDescent="0.25">
      <c r="AN32" s="18"/>
      <c r="AT32" s="18"/>
      <c r="AU32" s="18"/>
      <c r="CE32" s="14"/>
      <c r="CF32" s="19"/>
      <c r="CI32" s="19"/>
      <c r="CP32" s="14"/>
      <c r="CR32" s="19"/>
      <c r="DZ32" s="19"/>
      <c r="EB32" s="19"/>
    </row>
    <row r="33" spans="40:132" x14ac:dyDescent="0.25">
      <c r="AN33" s="18"/>
      <c r="AT33" s="18"/>
      <c r="AU33" s="18"/>
      <c r="CE33" s="14"/>
      <c r="CF33" s="19"/>
      <c r="CI33" s="19"/>
      <c r="CP33" s="14"/>
      <c r="CR33" s="19"/>
      <c r="DZ33" s="19"/>
      <c r="EB33" s="19"/>
    </row>
    <row r="34" spans="40:132" x14ac:dyDescent="0.25">
      <c r="AN34" s="18"/>
      <c r="AT34" s="18"/>
      <c r="AU34" s="18"/>
      <c r="CE34" s="14"/>
      <c r="CF34" s="19"/>
      <c r="CI34" s="19"/>
      <c r="CP34" s="14"/>
      <c r="CQ34" s="19"/>
      <c r="CR34" s="19"/>
      <c r="DZ34" s="19"/>
      <c r="EB34" s="19"/>
    </row>
    <row r="35" spans="40:132" x14ac:dyDescent="0.25">
      <c r="AN35" s="18"/>
      <c r="AT35" s="18"/>
      <c r="AU35" s="18"/>
      <c r="CE35" s="14"/>
      <c r="CF35" s="19"/>
      <c r="CI35" s="19"/>
      <c r="CP35" s="14"/>
      <c r="CR35" s="19"/>
      <c r="DZ35" s="19"/>
      <c r="EB35" s="19"/>
    </row>
    <row r="36" spans="40:132" x14ac:dyDescent="0.25">
      <c r="AN36" s="18"/>
      <c r="AT36" s="18"/>
      <c r="AU36" s="18"/>
      <c r="CE36" s="14"/>
      <c r="CF36" s="19"/>
      <c r="CI36" s="19"/>
      <c r="CP36" s="14"/>
      <c r="CR36" s="19"/>
      <c r="DZ36" s="19"/>
      <c r="EB36" s="19"/>
    </row>
    <row r="37" spans="40:132" x14ac:dyDescent="0.25">
      <c r="AN37" s="18"/>
      <c r="AT37" s="18"/>
      <c r="AU37" s="18"/>
      <c r="CE37" s="14"/>
      <c r="CF37" s="19"/>
      <c r="CI37" s="19"/>
      <c r="CP37" s="14"/>
      <c r="CR37" s="19"/>
      <c r="DZ37" s="19"/>
      <c r="EB37" s="19"/>
    </row>
    <row r="38" spans="40:132" x14ac:dyDescent="0.25">
      <c r="AN38" s="18"/>
      <c r="AT38" s="18"/>
      <c r="AU38" s="18"/>
      <c r="CE38" s="14"/>
      <c r="CF38" s="19"/>
      <c r="CI38" s="19"/>
      <c r="CP38" s="14"/>
      <c r="CR38" s="19"/>
      <c r="DZ38" s="19"/>
      <c r="EB38" s="19"/>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8BF97-625E-6C4D-AAAE-AE0B5D81B7B9}">
  <dimension ref="A1:AAA2"/>
  <sheetViews>
    <sheetView zoomScaleNormal="100" workbookViewId="0">
      <selection activeCell="A2" sqref="A2"/>
    </sheetView>
  </sheetViews>
  <sheetFormatPr defaultColWidth="11" defaultRowHeight="15.75" x14ac:dyDescent="0.25"/>
  <cols>
    <col min="1" max="1" width="8.375" bestFit="1" customWidth="1"/>
    <col min="2" max="2" width="7.5" bestFit="1" customWidth="1"/>
    <col min="3" max="3" width="6.375" bestFit="1" customWidth="1"/>
    <col min="4" max="4" width="16" bestFit="1" customWidth="1"/>
    <col min="5" max="5" width="16.375" bestFit="1" customWidth="1"/>
    <col min="6" max="6" width="18.125" bestFit="1" customWidth="1"/>
    <col min="7" max="7" width="19.625" bestFit="1" customWidth="1"/>
    <col min="8" max="8" width="27.5" bestFit="1" customWidth="1"/>
    <col min="9" max="9" width="18.375" style="14" bestFit="1" customWidth="1"/>
    <col min="10" max="10" width="16.875" style="14" bestFit="1" customWidth="1"/>
    <col min="11" max="11" width="12.625" style="14" customWidth="1"/>
    <col min="12" max="12" width="12.125" style="14" bestFit="1" customWidth="1"/>
    <col min="13" max="13" width="16.875" style="14" bestFit="1" customWidth="1"/>
    <col min="14" max="14" width="10.875" style="14"/>
    <col min="15" max="15" width="16.25" style="14" bestFit="1" customWidth="1"/>
    <col min="16" max="16" width="11" style="14"/>
  </cols>
  <sheetData>
    <row r="1" spans="1:703" x14ac:dyDescent="0.25">
      <c r="A1" t="s">
        <v>317</v>
      </c>
      <c r="B1" t="s">
        <v>157</v>
      </c>
      <c r="C1" t="s">
        <v>318</v>
      </c>
      <c r="D1" t="s">
        <v>4</v>
      </c>
      <c r="E1" t="s">
        <v>5</v>
      </c>
      <c r="F1" t="s">
        <v>6</v>
      </c>
      <c r="G1" t="s">
        <v>8</v>
      </c>
      <c r="H1" t="s">
        <v>319</v>
      </c>
      <c r="I1" s="14" t="s">
        <v>320</v>
      </c>
      <c r="J1" s="14" t="s">
        <v>22</v>
      </c>
      <c r="K1" s="14" t="s">
        <v>29</v>
      </c>
      <c r="L1" s="14" t="s">
        <v>328</v>
      </c>
      <c r="M1" s="14" t="s">
        <v>329</v>
      </c>
      <c r="N1" s="14" t="s">
        <v>330</v>
      </c>
      <c r="O1" s="14" t="s">
        <v>92</v>
      </c>
      <c r="ZZ1" t="s">
        <v>142</v>
      </c>
      <c r="AAA1" t="s">
        <v>192</v>
      </c>
    </row>
    <row r="2" spans="1:703" x14ac:dyDescent="0.25">
      <c r="ZZ2" t="str">
        <f t="shared" ref="ZZ2" si="0">E3&amp; "|" &amp;F3</f>
        <v>|</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C857A-9238-4042-92ED-D56C07283967}">
  <sheetPr codeName="Sheet2"/>
  <dimension ref="A1:AAA17"/>
  <sheetViews>
    <sheetView zoomScaleNormal="100" workbookViewId="0">
      <selection activeCell="E6" sqref="E6"/>
    </sheetView>
  </sheetViews>
  <sheetFormatPr defaultColWidth="8.875" defaultRowHeight="15.75" x14ac:dyDescent="0.25"/>
  <cols>
    <col min="3" max="3" width="16.375" bestFit="1" customWidth="1"/>
    <col min="4" max="4" width="17.5" bestFit="1" customWidth="1"/>
    <col min="5" max="5" width="18.375" bestFit="1" customWidth="1"/>
    <col min="6" max="6" width="18.375" customWidth="1"/>
    <col min="7" max="7" width="20.375" bestFit="1" customWidth="1"/>
    <col min="8" max="10" width="20.375" customWidth="1"/>
    <col min="11" max="11" width="11.75" style="14" bestFit="1" customWidth="1"/>
    <col min="12" max="12" width="17.125" style="14" bestFit="1" customWidth="1"/>
    <col min="698" max="698" width="13.5" bestFit="1" customWidth="1"/>
  </cols>
  <sheetData>
    <row r="1" spans="1:703" x14ac:dyDescent="0.25">
      <c r="A1" s="24" t="s">
        <v>4</v>
      </c>
      <c r="B1" s="24" t="s">
        <v>317</v>
      </c>
      <c r="C1" s="11" t="s">
        <v>5</v>
      </c>
      <c r="D1" s="11" t="s">
        <v>160</v>
      </c>
      <c r="E1" s="12" t="s">
        <v>8</v>
      </c>
      <c r="F1" s="24" t="s">
        <v>319</v>
      </c>
      <c r="G1" s="24" t="s">
        <v>320</v>
      </c>
      <c r="H1" s="24" t="s">
        <v>22</v>
      </c>
      <c r="I1" s="24" t="s">
        <v>348</v>
      </c>
      <c r="J1" s="24" t="s">
        <v>36</v>
      </c>
      <c r="K1" s="13" t="s">
        <v>161</v>
      </c>
      <c r="L1" s="13" t="s">
        <v>92</v>
      </c>
      <c r="ZV1" t="s">
        <v>142</v>
      </c>
      <c r="ZW1" t="s">
        <v>192</v>
      </c>
      <c r="ZZ1" t="s">
        <v>142</v>
      </c>
      <c r="AAA1" t="s">
        <v>192</v>
      </c>
    </row>
    <row r="2" spans="1:703" x14ac:dyDescent="0.25">
      <c r="G2" s="14"/>
      <c r="H2" s="14"/>
      <c r="ZV2" t="str">
        <f>C2&amp; "|" &amp;D2</f>
        <v>|</v>
      </c>
      <c r="ZZ2" t="str">
        <f t="shared" ref="ZZ2:ZZ17" si="0">C2&amp; "|" &amp;D2</f>
        <v>|</v>
      </c>
    </row>
    <row r="3" spans="1:703" x14ac:dyDescent="0.25">
      <c r="G3" s="14"/>
      <c r="H3" s="14"/>
      <c r="ZZ3" t="str">
        <f t="shared" si="0"/>
        <v>|</v>
      </c>
    </row>
    <row r="4" spans="1:703" x14ac:dyDescent="0.25">
      <c r="G4" s="14"/>
      <c r="H4" s="14"/>
      <c r="ZZ4" t="str">
        <f t="shared" si="0"/>
        <v>|</v>
      </c>
    </row>
    <row r="5" spans="1:703" x14ac:dyDescent="0.25">
      <c r="G5" s="14"/>
      <c r="H5" s="14"/>
      <c r="ZZ5" t="str">
        <f t="shared" si="0"/>
        <v>|</v>
      </c>
    </row>
    <row r="6" spans="1:703" x14ac:dyDescent="0.25">
      <c r="G6" s="14"/>
      <c r="H6" s="14"/>
      <c r="ZZ6" t="str">
        <f t="shared" si="0"/>
        <v>|</v>
      </c>
    </row>
    <row r="7" spans="1:703" x14ac:dyDescent="0.25">
      <c r="G7" s="14"/>
      <c r="H7" s="14"/>
      <c r="ZZ7" t="str">
        <f t="shared" si="0"/>
        <v>|</v>
      </c>
    </row>
    <row r="8" spans="1:703" x14ac:dyDescent="0.25">
      <c r="G8" s="14"/>
      <c r="H8" s="14"/>
      <c r="ZZ8" t="str">
        <f t="shared" si="0"/>
        <v>|</v>
      </c>
    </row>
    <row r="9" spans="1:703" x14ac:dyDescent="0.25">
      <c r="G9" s="14"/>
      <c r="H9" s="14"/>
      <c r="ZZ9" t="str">
        <f t="shared" si="0"/>
        <v>|</v>
      </c>
    </row>
    <row r="10" spans="1:703" x14ac:dyDescent="0.25">
      <c r="G10" s="14"/>
      <c r="H10" s="14"/>
      <c r="ZZ10" t="str">
        <f t="shared" si="0"/>
        <v>|</v>
      </c>
    </row>
    <row r="11" spans="1:703" x14ac:dyDescent="0.25">
      <c r="G11" s="14"/>
      <c r="H11" s="14"/>
      <c r="ZZ11" t="str">
        <f t="shared" si="0"/>
        <v>|</v>
      </c>
    </row>
    <row r="12" spans="1:703" x14ac:dyDescent="0.25">
      <c r="G12" s="14"/>
      <c r="H12" s="14"/>
      <c r="ZZ12" t="str">
        <f t="shared" si="0"/>
        <v>|</v>
      </c>
    </row>
    <row r="13" spans="1:703" x14ac:dyDescent="0.25">
      <c r="G13" s="14"/>
      <c r="H13" s="14"/>
      <c r="ZZ13" t="str">
        <f t="shared" si="0"/>
        <v>|</v>
      </c>
    </row>
    <row r="14" spans="1:703" x14ac:dyDescent="0.25">
      <c r="G14" s="14"/>
      <c r="H14" s="14"/>
      <c r="ZZ14" t="str">
        <f t="shared" si="0"/>
        <v>|</v>
      </c>
    </row>
    <row r="15" spans="1:703" x14ac:dyDescent="0.25">
      <c r="G15" s="14"/>
      <c r="H15" s="14"/>
      <c r="ZZ15" t="str">
        <f t="shared" si="0"/>
        <v>|</v>
      </c>
    </row>
    <row r="16" spans="1:703" x14ac:dyDescent="0.25">
      <c r="ZZ16" t="str">
        <f t="shared" si="0"/>
        <v>|</v>
      </c>
    </row>
    <row r="17" spans="8:702" x14ac:dyDescent="0.25">
      <c r="H17" t="s">
        <v>352</v>
      </c>
      <c r="ZZ17" t="str">
        <f t="shared" si="0"/>
        <v>|</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81C8E2-56AC-3449-9CD7-600BD5171A09}">
  <dimension ref="A1:AAC142"/>
  <sheetViews>
    <sheetView zoomScale="70" zoomScaleNormal="70" workbookViewId="0">
      <pane ySplit="1" topLeftCell="A2" activePane="bottomLeft" state="frozen"/>
      <selection activeCell="M1" sqref="M1"/>
      <selection pane="bottomLeft" activeCell="G1" sqref="G1"/>
    </sheetView>
  </sheetViews>
  <sheetFormatPr defaultColWidth="11" defaultRowHeight="15.75" x14ac:dyDescent="0.25"/>
  <cols>
    <col min="1" max="1" width="3.5" bestFit="1" customWidth="1"/>
    <col min="2" max="2" width="18.625" customWidth="1"/>
    <col min="3" max="3" width="18" bestFit="1" customWidth="1"/>
    <col min="4" max="4" width="19.625" bestFit="1" customWidth="1"/>
    <col min="5" max="5" width="17.5" bestFit="1" customWidth="1"/>
    <col min="6" max="6" width="44.625" bestFit="1" customWidth="1"/>
    <col min="7" max="10" width="39.375" style="14" customWidth="1"/>
    <col min="11" max="11" width="15" bestFit="1" customWidth="1"/>
    <col min="12" max="13" width="15" customWidth="1"/>
    <col min="14" max="14" width="11.5" bestFit="1" customWidth="1"/>
    <col min="15" max="15" width="37.75" style="14" bestFit="1" customWidth="1"/>
    <col min="16" max="29" width="18" style="14" customWidth="1"/>
    <col min="704" max="704" width="14.375" bestFit="1" customWidth="1"/>
    <col min="705" max="705" width="31.5" bestFit="1" customWidth="1"/>
  </cols>
  <sheetData>
    <row r="1" spans="1:705" ht="24" customHeight="1" x14ac:dyDescent="0.25">
      <c r="A1" t="s">
        <v>322</v>
      </c>
      <c r="B1" t="s">
        <v>323</v>
      </c>
      <c r="C1" t="s">
        <v>169</v>
      </c>
      <c r="D1" t="s">
        <v>149</v>
      </c>
      <c r="E1" t="s">
        <v>6</v>
      </c>
      <c r="F1" t="s">
        <v>8</v>
      </c>
      <c r="G1" s="14" t="s">
        <v>5</v>
      </c>
      <c r="H1" s="14" t="s">
        <v>15</v>
      </c>
      <c r="I1" s="14" t="s">
        <v>331</v>
      </c>
      <c r="J1" s="14" t="s">
        <v>324</v>
      </c>
      <c r="K1" t="s">
        <v>326</v>
      </c>
      <c r="L1" t="s">
        <v>350</v>
      </c>
      <c r="M1" t="s">
        <v>351</v>
      </c>
      <c r="N1" t="s">
        <v>332</v>
      </c>
      <c r="O1" s="14" t="s">
        <v>325</v>
      </c>
      <c r="P1" s="14" t="s">
        <v>335</v>
      </c>
      <c r="Q1" s="14" t="s">
        <v>320</v>
      </c>
      <c r="R1" s="14" t="s">
        <v>22</v>
      </c>
      <c r="S1" s="14" t="s">
        <v>29</v>
      </c>
      <c r="T1" s="14" t="s">
        <v>336</v>
      </c>
      <c r="U1" s="14" t="s">
        <v>333</v>
      </c>
      <c r="V1" s="14" t="s">
        <v>43</v>
      </c>
      <c r="W1" s="14" t="s">
        <v>337</v>
      </c>
      <c r="X1" s="14" t="s">
        <v>50</v>
      </c>
      <c r="Y1" s="14" t="s">
        <v>57</v>
      </c>
      <c r="Z1" s="14" t="s">
        <v>64</v>
      </c>
      <c r="AA1" s="14" t="s">
        <v>71</v>
      </c>
      <c r="AB1" s="14" t="s">
        <v>85</v>
      </c>
      <c r="AC1" s="14" t="s">
        <v>92</v>
      </c>
      <c r="AD1" t="s">
        <v>334</v>
      </c>
      <c r="ZN1" t="s">
        <v>142</v>
      </c>
      <c r="ZO1" t="s">
        <v>192</v>
      </c>
      <c r="ZZ1" t="s">
        <v>142</v>
      </c>
      <c r="AAA1" t="s">
        <v>192</v>
      </c>
      <c r="AAB1" t="s">
        <v>142</v>
      </c>
      <c r="AAC1" t="s">
        <v>192</v>
      </c>
    </row>
    <row r="2" spans="1:705" x14ac:dyDescent="0.25">
      <c r="ZZ2" t="str">
        <f t="shared" ref="ZZ2:ZZ33" si="0">G2&amp; "|" &amp;E2</f>
        <v>|</v>
      </c>
    </row>
    <row r="3" spans="1:705" x14ac:dyDescent="0.25">
      <c r="ZZ3" t="str">
        <f t="shared" si="0"/>
        <v>|</v>
      </c>
    </row>
    <row r="4" spans="1:705" x14ac:dyDescent="0.25">
      <c r="ZZ4" t="str">
        <f t="shared" si="0"/>
        <v>|</v>
      </c>
    </row>
    <row r="5" spans="1:705" x14ac:dyDescent="0.25">
      <c r="ZZ5" t="str">
        <f t="shared" si="0"/>
        <v>|</v>
      </c>
    </row>
    <row r="6" spans="1:705" x14ac:dyDescent="0.25">
      <c r="ZZ6" t="str">
        <f t="shared" si="0"/>
        <v>|</v>
      </c>
    </row>
    <row r="7" spans="1:705" x14ac:dyDescent="0.25">
      <c r="ZZ7" t="str">
        <f t="shared" si="0"/>
        <v>|</v>
      </c>
    </row>
    <row r="8" spans="1:705" x14ac:dyDescent="0.25">
      <c r="ZZ8" t="str">
        <f t="shared" si="0"/>
        <v>|</v>
      </c>
    </row>
    <row r="9" spans="1:705" x14ac:dyDescent="0.25">
      <c r="ZZ9" t="str">
        <f t="shared" si="0"/>
        <v>|</v>
      </c>
    </row>
    <row r="10" spans="1:705" x14ac:dyDescent="0.25">
      <c r="ZZ10" t="str">
        <f t="shared" si="0"/>
        <v>|</v>
      </c>
    </row>
    <row r="11" spans="1:705" x14ac:dyDescent="0.25">
      <c r="ZZ11" t="str">
        <f t="shared" si="0"/>
        <v>|</v>
      </c>
    </row>
    <row r="12" spans="1:705" x14ac:dyDescent="0.25">
      <c r="ZZ12" t="str">
        <f t="shared" si="0"/>
        <v>|</v>
      </c>
    </row>
    <row r="13" spans="1:705" x14ac:dyDescent="0.25">
      <c r="ZZ13" t="str">
        <f t="shared" si="0"/>
        <v>|</v>
      </c>
    </row>
    <row r="14" spans="1:705" x14ac:dyDescent="0.25">
      <c r="ZZ14" t="str">
        <f t="shared" si="0"/>
        <v>|</v>
      </c>
    </row>
    <row r="15" spans="1:705" x14ac:dyDescent="0.25">
      <c r="ZZ15" t="str">
        <f t="shared" si="0"/>
        <v>|</v>
      </c>
    </row>
    <row r="16" spans="1:705" x14ac:dyDescent="0.25">
      <c r="ZZ16" t="str">
        <f t="shared" si="0"/>
        <v>|</v>
      </c>
    </row>
    <row r="17" spans="702:702" x14ac:dyDescent="0.25">
      <c r="ZZ17" t="str">
        <f t="shared" si="0"/>
        <v>|</v>
      </c>
    </row>
    <row r="18" spans="702:702" x14ac:dyDescent="0.25">
      <c r="ZZ18" t="str">
        <f t="shared" si="0"/>
        <v>|</v>
      </c>
    </row>
    <row r="19" spans="702:702" x14ac:dyDescent="0.25">
      <c r="ZZ19" t="str">
        <f t="shared" si="0"/>
        <v>|</v>
      </c>
    </row>
    <row r="20" spans="702:702" x14ac:dyDescent="0.25">
      <c r="ZZ20" t="str">
        <f t="shared" si="0"/>
        <v>|</v>
      </c>
    </row>
    <row r="21" spans="702:702" x14ac:dyDescent="0.25">
      <c r="ZZ21" t="str">
        <f t="shared" si="0"/>
        <v>|</v>
      </c>
    </row>
    <row r="22" spans="702:702" x14ac:dyDescent="0.25">
      <c r="ZZ22" t="str">
        <f t="shared" si="0"/>
        <v>|</v>
      </c>
    </row>
    <row r="23" spans="702:702" x14ac:dyDescent="0.25">
      <c r="ZZ23" t="str">
        <f t="shared" si="0"/>
        <v>|</v>
      </c>
    </row>
    <row r="24" spans="702:702" x14ac:dyDescent="0.25">
      <c r="ZZ24" t="str">
        <f t="shared" si="0"/>
        <v>|</v>
      </c>
    </row>
    <row r="25" spans="702:702" x14ac:dyDescent="0.25">
      <c r="ZZ25" t="str">
        <f t="shared" si="0"/>
        <v>|</v>
      </c>
    </row>
    <row r="26" spans="702:702" x14ac:dyDescent="0.25">
      <c r="ZZ26" t="str">
        <f t="shared" si="0"/>
        <v>|</v>
      </c>
    </row>
    <row r="27" spans="702:702" x14ac:dyDescent="0.25">
      <c r="ZZ27" t="str">
        <f t="shared" si="0"/>
        <v>|</v>
      </c>
    </row>
    <row r="28" spans="702:702" x14ac:dyDescent="0.25">
      <c r="ZZ28" t="str">
        <f t="shared" si="0"/>
        <v>|</v>
      </c>
    </row>
    <row r="29" spans="702:702" x14ac:dyDescent="0.25">
      <c r="ZZ29" t="str">
        <f t="shared" si="0"/>
        <v>|</v>
      </c>
    </row>
    <row r="30" spans="702:702" x14ac:dyDescent="0.25">
      <c r="ZZ30" t="str">
        <f t="shared" si="0"/>
        <v>|</v>
      </c>
    </row>
    <row r="31" spans="702:702" x14ac:dyDescent="0.25">
      <c r="ZZ31" t="str">
        <f t="shared" si="0"/>
        <v>|</v>
      </c>
    </row>
    <row r="32" spans="702:702" x14ac:dyDescent="0.25">
      <c r="ZZ32" t="str">
        <f t="shared" si="0"/>
        <v>|</v>
      </c>
    </row>
    <row r="33" spans="702:702" x14ac:dyDescent="0.25">
      <c r="ZZ33" t="str">
        <f t="shared" si="0"/>
        <v>|</v>
      </c>
    </row>
    <row r="34" spans="702:702" x14ac:dyDescent="0.25">
      <c r="ZZ34" t="str">
        <f t="shared" ref="ZZ34:ZZ65" si="1">G34&amp; "|" &amp;E34</f>
        <v>|</v>
      </c>
    </row>
    <row r="35" spans="702:702" x14ac:dyDescent="0.25">
      <c r="ZZ35" t="str">
        <f t="shared" si="1"/>
        <v>|</v>
      </c>
    </row>
    <row r="36" spans="702:702" x14ac:dyDescent="0.25">
      <c r="ZZ36" t="str">
        <f t="shared" si="1"/>
        <v>|</v>
      </c>
    </row>
    <row r="37" spans="702:702" x14ac:dyDescent="0.25">
      <c r="ZZ37" t="str">
        <f t="shared" si="1"/>
        <v>|</v>
      </c>
    </row>
    <row r="38" spans="702:702" x14ac:dyDescent="0.25">
      <c r="ZZ38" t="str">
        <f t="shared" si="1"/>
        <v>|</v>
      </c>
    </row>
    <row r="39" spans="702:702" x14ac:dyDescent="0.25">
      <c r="ZZ39" t="str">
        <f t="shared" si="1"/>
        <v>|</v>
      </c>
    </row>
    <row r="40" spans="702:702" x14ac:dyDescent="0.25">
      <c r="ZZ40" t="str">
        <f t="shared" si="1"/>
        <v>|</v>
      </c>
    </row>
    <row r="41" spans="702:702" x14ac:dyDescent="0.25">
      <c r="ZZ41" t="str">
        <f t="shared" si="1"/>
        <v>|</v>
      </c>
    </row>
    <row r="42" spans="702:702" x14ac:dyDescent="0.25">
      <c r="ZZ42" t="str">
        <f t="shared" si="1"/>
        <v>|</v>
      </c>
    </row>
    <row r="43" spans="702:702" x14ac:dyDescent="0.25">
      <c r="ZZ43" t="str">
        <f t="shared" si="1"/>
        <v>|</v>
      </c>
    </row>
    <row r="44" spans="702:702" x14ac:dyDescent="0.25">
      <c r="ZZ44" t="str">
        <f t="shared" si="1"/>
        <v>|</v>
      </c>
    </row>
    <row r="45" spans="702:702" x14ac:dyDescent="0.25">
      <c r="ZZ45" t="str">
        <f t="shared" si="1"/>
        <v>|</v>
      </c>
    </row>
    <row r="46" spans="702:702" x14ac:dyDescent="0.25">
      <c r="ZZ46" t="str">
        <f t="shared" si="1"/>
        <v>|</v>
      </c>
    </row>
    <row r="47" spans="702:702" x14ac:dyDescent="0.25">
      <c r="ZZ47" t="str">
        <f t="shared" si="1"/>
        <v>|</v>
      </c>
    </row>
    <row r="48" spans="702:702" x14ac:dyDescent="0.25">
      <c r="ZZ48" t="str">
        <f t="shared" si="1"/>
        <v>|</v>
      </c>
    </row>
    <row r="49" spans="702:702" x14ac:dyDescent="0.25">
      <c r="ZZ49" t="str">
        <f t="shared" si="1"/>
        <v>|</v>
      </c>
    </row>
    <row r="50" spans="702:702" x14ac:dyDescent="0.25">
      <c r="ZZ50" t="str">
        <f t="shared" si="1"/>
        <v>|</v>
      </c>
    </row>
    <row r="51" spans="702:702" x14ac:dyDescent="0.25">
      <c r="ZZ51" t="str">
        <f t="shared" si="1"/>
        <v>|</v>
      </c>
    </row>
    <row r="52" spans="702:702" x14ac:dyDescent="0.25">
      <c r="ZZ52" t="str">
        <f t="shared" si="1"/>
        <v>|</v>
      </c>
    </row>
    <row r="53" spans="702:702" x14ac:dyDescent="0.25">
      <c r="ZZ53" t="str">
        <f t="shared" si="1"/>
        <v>|</v>
      </c>
    </row>
    <row r="54" spans="702:702" x14ac:dyDescent="0.25">
      <c r="ZZ54" t="str">
        <f t="shared" si="1"/>
        <v>|</v>
      </c>
    </row>
    <row r="55" spans="702:702" x14ac:dyDescent="0.25">
      <c r="ZZ55" t="str">
        <f t="shared" si="1"/>
        <v>|</v>
      </c>
    </row>
    <row r="56" spans="702:702" x14ac:dyDescent="0.25">
      <c r="ZZ56" t="str">
        <f t="shared" si="1"/>
        <v>|</v>
      </c>
    </row>
    <row r="57" spans="702:702" x14ac:dyDescent="0.25">
      <c r="ZZ57" t="str">
        <f t="shared" si="1"/>
        <v>|</v>
      </c>
    </row>
    <row r="58" spans="702:702" x14ac:dyDescent="0.25">
      <c r="ZZ58" t="str">
        <f t="shared" si="1"/>
        <v>|</v>
      </c>
    </row>
    <row r="59" spans="702:702" x14ac:dyDescent="0.25">
      <c r="ZZ59" t="str">
        <f t="shared" si="1"/>
        <v>|</v>
      </c>
    </row>
    <row r="60" spans="702:702" x14ac:dyDescent="0.25">
      <c r="ZZ60" t="str">
        <f t="shared" si="1"/>
        <v>|</v>
      </c>
    </row>
    <row r="61" spans="702:702" x14ac:dyDescent="0.25">
      <c r="ZZ61" t="str">
        <f t="shared" si="1"/>
        <v>|</v>
      </c>
    </row>
    <row r="62" spans="702:702" x14ac:dyDescent="0.25">
      <c r="ZZ62" t="str">
        <f t="shared" si="1"/>
        <v>|</v>
      </c>
    </row>
    <row r="63" spans="702:702" x14ac:dyDescent="0.25">
      <c r="ZZ63" t="str">
        <f t="shared" si="1"/>
        <v>|</v>
      </c>
    </row>
    <row r="64" spans="702:702" x14ac:dyDescent="0.25">
      <c r="ZZ64" t="str">
        <f t="shared" si="1"/>
        <v>|</v>
      </c>
    </row>
    <row r="65" spans="702:702" x14ac:dyDescent="0.25">
      <c r="ZZ65" t="str">
        <f t="shared" si="1"/>
        <v>|</v>
      </c>
    </row>
    <row r="66" spans="702:702" x14ac:dyDescent="0.25">
      <c r="ZZ66" t="str">
        <f t="shared" ref="ZZ66:ZZ97" si="2">G66&amp; "|" &amp;E66</f>
        <v>|</v>
      </c>
    </row>
    <row r="67" spans="702:702" x14ac:dyDescent="0.25">
      <c r="ZZ67" t="str">
        <f t="shared" si="2"/>
        <v>|</v>
      </c>
    </row>
    <row r="68" spans="702:702" x14ac:dyDescent="0.25">
      <c r="ZZ68" t="str">
        <f t="shared" si="2"/>
        <v>|</v>
      </c>
    </row>
    <row r="69" spans="702:702" x14ac:dyDescent="0.25">
      <c r="ZZ69" t="str">
        <f t="shared" si="2"/>
        <v>|</v>
      </c>
    </row>
    <row r="70" spans="702:702" x14ac:dyDescent="0.25">
      <c r="ZZ70" t="str">
        <f t="shared" si="2"/>
        <v>|</v>
      </c>
    </row>
    <row r="71" spans="702:702" x14ac:dyDescent="0.25">
      <c r="ZZ71" t="str">
        <f t="shared" si="2"/>
        <v>|</v>
      </c>
    </row>
    <row r="72" spans="702:702" x14ac:dyDescent="0.25">
      <c r="ZZ72" t="str">
        <f t="shared" si="2"/>
        <v>|</v>
      </c>
    </row>
    <row r="73" spans="702:702" x14ac:dyDescent="0.25">
      <c r="ZZ73" t="str">
        <f t="shared" si="2"/>
        <v>|</v>
      </c>
    </row>
    <row r="74" spans="702:702" x14ac:dyDescent="0.25">
      <c r="ZZ74" t="str">
        <f t="shared" si="2"/>
        <v>|</v>
      </c>
    </row>
    <row r="75" spans="702:702" x14ac:dyDescent="0.25">
      <c r="ZZ75" t="str">
        <f t="shared" si="2"/>
        <v>|</v>
      </c>
    </row>
    <row r="76" spans="702:702" x14ac:dyDescent="0.25">
      <c r="ZZ76" t="str">
        <f t="shared" si="2"/>
        <v>|</v>
      </c>
    </row>
    <row r="77" spans="702:702" x14ac:dyDescent="0.25">
      <c r="ZZ77" t="str">
        <f t="shared" si="2"/>
        <v>|</v>
      </c>
    </row>
    <row r="78" spans="702:702" x14ac:dyDescent="0.25">
      <c r="ZZ78" t="str">
        <f t="shared" si="2"/>
        <v>|</v>
      </c>
    </row>
    <row r="79" spans="702:702" x14ac:dyDescent="0.25">
      <c r="ZZ79" t="str">
        <f t="shared" si="2"/>
        <v>|</v>
      </c>
    </row>
    <row r="80" spans="702:702" x14ac:dyDescent="0.25">
      <c r="ZZ80" t="str">
        <f t="shared" si="2"/>
        <v>|</v>
      </c>
    </row>
    <row r="81" spans="702:702" x14ac:dyDescent="0.25">
      <c r="ZZ81" t="str">
        <f t="shared" si="2"/>
        <v>|</v>
      </c>
    </row>
    <row r="82" spans="702:702" x14ac:dyDescent="0.25">
      <c r="ZZ82" t="str">
        <f t="shared" si="2"/>
        <v>|</v>
      </c>
    </row>
    <row r="83" spans="702:702" x14ac:dyDescent="0.25">
      <c r="ZZ83" t="str">
        <f t="shared" si="2"/>
        <v>|</v>
      </c>
    </row>
    <row r="84" spans="702:702" x14ac:dyDescent="0.25">
      <c r="ZZ84" t="str">
        <f t="shared" si="2"/>
        <v>|</v>
      </c>
    </row>
    <row r="85" spans="702:702" x14ac:dyDescent="0.25">
      <c r="ZZ85" t="str">
        <f t="shared" si="2"/>
        <v>|</v>
      </c>
    </row>
    <row r="86" spans="702:702" x14ac:dyDescent="0.25">
      <c r="ZZ86" t="str">
        <f t="shared" si="2"/>
        <v>|</v>
      </c>
    </row>
    <row r="87" spans="702:702" x14ac:dyDescent="0.25">
      <c r="ZZ87" t="str">
        <f t="shared" si="2"/>
        <v>|</v>
      </c>
    </row>
    <row r="88" spans="702:702" x14ac:dyDescent="0.25">
      <c r="ZZ88" t="str">
        <f t="shared" si="2"/>
        <v>|</v>
      </c>
    </row>
    <row r="89" spans="702:702" x14ac:dyDescent="0.25">
      <c r="ZZ89" t="str">
        <f t="shared" si="2"/>
        <v>|</v>
      </c>
    </row>
    <row r="90" spans="702:702" x14ac:dyDescent="0.25">
      <c r="ZZ90" t="str">
        <f t="shared" si="2"/>
        <v>|</v>
      </c>
    </row>
    <row r="91" spans="702:702" x14ac:dyDescent="0.25">
      <c r="ZZ91" t="str">
        <f t="shared" si="2"/>
        <v>|</v>
      </c>
    </row>
    <row r="92" spans="702:702" x14ac:dyDescent="0.25">
      <c r="ZZ92" t="str">
        <f t="shared" si="2"/>
        <v>|</v>
      </c>
    </row>
    <row r="93" spans="702:702" x14ac:dyDescent="0.25">
      <c r="ZZ93" t="str">
        <f t="shared" si="2"/>
        <v>|</v>
      </c>
    </row>
    <row r="94" spans="702:702" x14ac:dyDescent="0.25">
      <c r="ZZ94" t="str">
        <f t="shared" si="2"/>
        <v>|</v>
      </c>
    </row>
    <row r="95" spans="702:702" x14ac:dyDescent="0.25">
      <c r="ZZ95" t="str">
        <f t="shared" si="2"/>
        <v>|</v>
      </c>
    </row>
    <row r="96" spans="702:702" x14ac:dyDescent="0.25">
      <c r="ZZ96" t="str">
        <f t="shared" si="2"/>
        <v>|</v>
      </c>
    </row>
    <row r="97" spans="702:702" x14ac:dyDescent="0.25">
      <c r="ZZ97" t="str">
        <f t="shared" si="2"/>
        <v>|</v>
      </c>
    </row>
    <row r="98" spans="702:702" x14ac:dyDescent="0.25">
      <c r="ZZ98" t="str">
        <f t="shared" ref="ZZ98:ZZ129" si="3">G98&amp; "|" &amp;E98</f>
        <v>|</v>
      </c>
    </row>
    <row r="99" spans="702:702" x14ac:dyDescent="0.25">
      <c r="ZZ99" t="str">
        <f t="shared" si="3"/>
        <v>|</v>
      </c>
    </row>
    <row r="100" spans="702:702" x14ac:dyDescent="0.25">
      <c r="ZZ100" t="str">
        <f t="shared" si="3"/>
        <v>|</v>
      </c>
    </row>
    <row r="101" spans="702:702" x14ac:dyDescent="0.25">
      <c r="ZZ101" t="str">
        <f t="shared" si="3"/>
        <v>|</v>
      </c>
    </row>
    <row r="102" spans="702:702" x14ac:dyDescent="0.25">
      <c r="ZZ102" t="str">
        <f t="shared" si="3"/>
        <v>|</v>
      </c>
    </row>
    <row r="103" spans="702:702" x14ac:dyDescent="0.25">
      <c r="ZZ103" t="str">
        <f t="shared" si="3"/>
        <v>|</v>
      </c>
    </row>
    <row r="104" spans="702:702" x14ac:dyDescent="0.25">
      <c r="ZZ104" t="str">
        <f t="shared" si="3"/>
        <v>|</v>
      </c>
    </row>
    <row r="105" spans="702:702" x14ac:dyDescent="0.25">
      <c r="ZZ105" t="str">
        <f t="shared" si="3"/>
        <v>|</v>
      </c>
    </row>
    <row r="106" spans="702:702" x14ac:dyDescent="0.25">
      <c r="ZZ106" t="str">
        <f t="shared" si="3"/>
        <v>|</v>
      </c>
    </row>
    <row r="107" spans="702:702" x14ac:dyDescent="0.25">
      <c r="ZZ107" t="str">
        <f t="shared" si="3"/>
        <v>|</v>
      </c>
    </row>
    <row r="108" spans="702:702" x14ac:dyDescent="0.25">
      <c r="ZZ108" t="str">
        <f t="shared" si="3"/>
        <v>|</v>
      </c>
    </row>
    <row r="109" spans="702:702" x14ac:dyDescent="0.25">
      <c r="ZZ109" t="str">
        <f t="shared" si="3"/>
        <v>|</v>
      </c>
    </row>
    <row r="110" spans="702:702" x14ac:dyDescent="0.25">
      <c r="ZZ110" t="str">
        <f t="shared" si="3"/>
        <v>|</v>
      </c>
    </row>
    <row r="111" spans="702:702" x14ac:dyDescent="0.25">
      <c r="ZZ111" t="str">
        <f t="shared" si="3"/>
        <v>|</v>
      </c>
    </row>
    <row r="112" spans="702:702" x14ac:dyDescent="0.25">
      <c r="ZZ112" t="str">
        <f t="shared" si="3"/>
        <v>|</v>
      </c>
    </row>
    <row r="113" spans="16:704" x14ac:dyDescent="0.25">
      <c r="ZZ113" t="str">
        <f t="shared" si="3"/>
        <v>|</v>
      </c>
    </row>
    <row r="114" spans="16:704" x14ac:dyDescent="0.25">
      <c r="P114" s="14">
        <v>45720</v>
      </c>
      <c r="Q114" s="14">
        <v>45726</v>
      </c>
      <c r="R114" s="14">
        <v>45734</v>
      </c>
      <c r="S114" s="14" t="s">
        <v>117</v>
      </c>
      <c r="T114" s="14" t="s">
        <v>117</v>
      </c>
      <c r="U114" s="14" t="s">
        <v>117</v>
      </c>
      <c r="V114" s="14" t="s">
        <v>117</v>
      </c>
      <c r="W114" s="14" t="s">
        <v>117</v>
      </c>
      <c r="X114" s="14" t="s">
        <v>117</v>
      </c>
      <c r="Y114" s="14" t="s">
        <v>117</v>
      </c>
      <c r="Z114" s="14" t="s">
        <v>117</v>
      </c>
      <c r="AA114" s="14" t="s">
        <v>117</v>
      </c>
      <c r="AB114" s="14" t="s">
        <v>117</v>
      </c>
      <c r="AC114" s="14" t="s">
        <v>117</v>
      </c>
      <c r="ZZ114" t="str">
        <f t="shared" si="3"/>
        <v>|</v>
      </c>
      <c r="AAB114" t="str">
        <f t="shared" ref="AAB114:AAB128" si="4">G114&amp; "|" &amp;E114</f>
        <v>|</v>
      </c>
    </row>
    <row r="115" spans="16:704" x14ac:dyDescent="0.25">
      <c r="P115" s="14">
        <v>45698</v>
      </c>
      <c r="Q115" s="14">
        <v>45698</v>
      </c>
      <c r="R115" s="14">
        <v>45738</v>
      </c>
      <c r="S115" s="14" t="s">
        <v>117</v>
      </c>
      <c r="T115" s="14" t="s">
        <v>117</v>
      </c>
      <c r="U115" s="14" t="s">
        <v>117</v>
      </c>
      <c r="V115" s="14" t="s">
        <v>117</v>
      </c>
      <c r="W115" s="14" t="s">
        <v>117</v>
      </c>
      <c r="X115" s="14" t="s">
        <v>117</v>
      </c>
      <c r="Y115" s="14" t="s">
        <v>117</v>
      </c>
      <c r="Z115" s="14" t="s">
        <v>117</v>
      </c>
      <c r="AA115" s="14" t="s">
        <v>117</v>
      </c>
      <c r="AB115" s="14" t="s">
        <v>117</v>
      </c>
      <c r="AC115" s="14" t="s">
        <v>117</v>
      </c>
      <c r="ZZ115" t="str">
        <f t="shared" si="3"/>
        <v>|</v>
      </c>
      <c r="AAB115" t="str">
        <f t="shared" si="4"/>
        <v>|</v>
      </c>
    </row>
    <row r="116" spans="16:704" x14ac:dyDescent="0.25">
      <c r="P116" s="14">
        <v>45698</v>
      </c>
      <c r="Q116" s="14">
        <v>45698</v>
      </c>
      <c r="R116" s="14">
        <v>45738</v>
      </c>
      <c r="S116" s="14" t="s">
        <v>117</v>
      </c>
      <c r="T116" s="14" t="s">
        <v>117</v>
      </c>
      <c r="U116" s="14" t="s">
        <v>117</v>
      </c>
      <c r="V116" s="14" t="s">
        <v>117</v>
      </c>
      <c r="W116" s="14" t="s">
        <v>117</v>
      </c>
      <c r="X116" s="14" t="s">
        <v>117</v>
      </c>
      <c r="Y116" s="14" t="s">
        <v>117</v>
      </c>
      <c r="Z116" s="14" t="s">
        <v>117</v>
      </c>
      <c r="AA116" s="14" t="s">
        <v>117</v>
      </c>
      <c r="AB116" s="14" t="s">
        <v>117</v>
      </c>
      <c r="AC116" s="14" t="s">
        <v>117</v>
      </c>
      <c r="ZZ116" t="str">
        <f t="shared" si="3"/>
        <v>|</v>
      </c>
      <c r="AAB116" t="str">
        <f t="shared" si="4"/>
        <v>|</v>
      </c>
    </row>
    <row r="117" spans="16:704" x14ac:dyDescent="0.25">
      <c r="P117" s="14">
        <v>45712</v>
      </c>
      <c r="Q117" s="14">
        <v>45712</v>
      </c>
      <c r="R117" s="14">
        <v>45745</v>
      </c>
      <c r="S117" s="14" t="s">
        <v>117</v>
      </c>
      <c r="T117" s="14">
        <v>45745</v>
      </c>
      <c r="U117" s="14" t="s">
        <v>117</v>
      </c>
      <c r="V117" s="14" t="s">
        <v>117</v>
      </c>
      <c r="W117" s="14" t="s">
        <v>117</v>
      </c>
      <c r="X117" s="14" t="s">
        <v>117</v>
      </c>
      <c r="Y117" s="14" t="s">
        <v>117</v>
      </c>
      <c r="Z117" s="14" t="s">
        <v>117</v>
      </c>
      <c r="AA117" s="14" t="s">
        <v>117</v>
      </c>
      <c r="AB117" s="14" t="s">
        <v>117</v>
      </c>
      <c r="AC117" s="14" t="s">
        <v>117</v>
      </c>
      <c r="ZZ117" t="str">
        <f t="shared" si="3"/>
        <v>|</v>
      </c>
      <c r="AAB117" t="str">
        <f t="shared" si="4"/>
        <v>|</v>
      </c>
    </row>
    <row r="118" spans="16:704" x14ac:dyDescent="0.25">
      <c r="P118" s="14">
        <v>45712</v>
      </c>
      <c r="Q118" s="14">
        <v>45712</v>
      </c>
      <c r="R118" s="14">
        <v>45745</v>
      </c>
      <c r="S118" s="14" t="s">
        <v>117</v>
      </c>
      <c r="T118" s="14">
        <v>45745</v>
      </c>
      <c r="U118" s="14" t="s">
        <v>117</v>
      </c>
      <c r="V118" s="14" t="s">
        <v>117</v>
      </c>
      <c r="W118" s="14" t="s">
        <v>117</v>
      </c>
      <c r="X118" s="14" t="s">
        <v>117</v>
      </c>
      <c r="Y118" s="14" t="s">
        <v>117</v>
      </c>
      <c r="Z118" s="14" t="s">
        <v>117</v>
      </c>
      <c r="AA118" s="14" t="s">
        <v>117</v>
      </c>
      <c r="AB118" s="14" t="s">
        <v>117</v>
      </c>
      <c r="AC118" s="14" t="s">
        <v>117</v>
      </c>
      <c r="ZZ118" t="str">
        <f t="shared" si="3"/>
        <v>|</v>
      </c>
      <c r="AAB118" t="str">
        <f t="shared" si="4"/>
        <v>|</v>
      </c>
    </row>
    <row r="119" spans="16:704" x14ac:dyDescent="0.25">
      <c r="P119" s="14">
        <v>45712</v>
      </c>
      <c r="Q119" s="14">
        <v>45712</v>
      </c>
      <c r="R119" s="14">
        <v>45745</v>
      </c>
      <c r="S119" s="14" t="s">
        <v>117</v>
      </c>
      <c r="T119" s="14">
        <v>45745</v>
      </c>
      <c r="U119" s="14" t="s">
        <v>117</v>
      </c>
      <c r="V119" s="14" t="s">
        <v>117</v>
      </c>
      <c r="W119" s="14" t="s">
        <v>117</v>
      </c>
      <c r="X119" s="14" t="s">
        <v>117</v>
      </c>
      <c r="Y119" s="14" t="s">
        <v>117</v>
      </c>
      <c r="Z119" s="14" t="s">
        <v>117</v>
      </c>
      <c r="AA119" s="14" t="s">
        <v>117</v>
      </c>
      <c r="AB119" s="14" t="s">
        <v>117</v>
      </c>
      <c r="AC119" s="14" t="s">
        <v>117</v>
      </c>
      <c r="ZZ119" t="str">
        <f t="shared" si="3"/>
        <v>|</v>
      </c>
      <c r="AAB119" t="str">
        <f t="shared" si="4"/>
        <v>|</v>
      </c>
    </row>
    <row r="120" spans="16:704" x14ac:dyDescent="0.25">
      <c r="P120" s="14">
        <v>45712</v>
      </c>
      <c r="Q120" s="14">
        <v>45712</v>
      </c>
      <c r="R120" s="14">
        <v>45745</v>
      </c>
      <c r="S120" s="14" t="s">
        <v>117</v>
      </c>
      <c r="T120" s="14">
        <v>45745</v>
      </c>
      <c r="U120" s="14" t="s">
        <v>117</v>
      </c>
      <c r="V120" s="14" t="s">
        <v>117</v>
      </c>
      <c r="W120" s="14" t="s">
        <v>117</v>
      </c>
      <c r="X120" s="14" t="s">
        <v>117</v>
      </c>
      <c r="Y120" s="14" t="s">
        <v>117</v>
      </c>
      <c r="Z120" s="14" t="s">
        <v>117</v>
      </c>
      <c r="AA120" s="14" t="s">
        <v>117</v>
      </c>
      <c r="AB120" s="14" t="s">
        <v>117</v>
      </c>
      <c r="AC120" s="14" t="s">
        <v>117</v>
      </c>
      <c r="ZZ120" t="str">
        <f t="shared" si="3"/>
        <v>|</v>
      </c>
      <c r="AAB120" t="str">
        <f t="shared" si="4"/>
        <v>|</v>
      </c>
    </row>
    <row r="121" spans="16:704" x14ac:dyDescent="0.25">
      <c r="P121" s="14">
        <v>45712</v>
      </c>
      <c r="Q121" s="14">
        <v>45712</v>
      </c>
      <c r="R121" s="14">
        <v>45745</v>
      </c>
      <c r="S121" s="14" t="s">
        <v>117</v>
      </c>
      <c r="T121" s="14">
        <v>45745</v>
      </c>
      <c r="U121" s="14" t="s">
        <v>117</v>
      </c>
      <c r="V121" s="14" t="s">
        <v>117</v>
      </c>
      <c r="W121" s="14" t="s">
        <v>117</v>
      </c>
      <c r="X121" s="14" t="s">
        <v>117</v>
      </c>
      <c r="Y121" s="14" t="s">
        <v>117</v>
      </c>
      <c r="Z121" s="14" t="s">
        <v>117</v>
      </c>
      <c r="AA121" s="14" t="s">
        <v>117</v>
      </c>
      <c r="AB121" s="14" t="s">
        <v>117</v>
      </c>
      <c r="AC121" s="14" t="s">
        <v>117</v>
      </c>
      <c r="ZZ121" t="str">
        <f t="shared" si="3"/>
        <v>|</v>
      </c>
      <c r="AAB121" t="str">
        <f t="shared" si="4"/>
        <v>|</v>
      </c>
    </row>
    <row r="122" spans="16:704" x14ac:dyDescent="0.25">
      <c r="P122" s="14">
        <v>45717</v>
      </c>
      <c r="Q122" s="14">
        <v>45718</v>
      </c>
      <c r="R122" s="14">
        <v>45747</v>
      </c>
      <c r="S122" s="14" t="s">
        <v>117</v>
      </c>
      <c r="T122" s="14" t="s">
        <v>117</v>
      </c>
      <c r="U122" s="14" t="s">
        <v>117</v>
      </c>
      <c r="V122" s="14" t="s">
        <v>117</v>
      </c>
      <c r="W122" s="14" t="s">
        <v>117</v>
      </c>
      <c r="X122" s="14" t="s">
        <v>117</v>
      </c>
      <c r="Y122" s="14" t="s">
        <v>117</v>
      </c>
      <c r="Z122" s="14" t="s">
        <v>117</v>
      </c>
      <c r="AA122" s="14" t="s">
        <v>117</v>
      </c>
      <c r="AB122" s="14" t="s">
        <v>117</v>
      </c>
      <c r="AC122" s="14" t="s">
        <v>117</v>
      </c>
      <c r="ZZ122" t="str">
        <f t="shared" si="3"/>
        <v>|</v>
      </c>
      <c r="AAB122" t="str">
        <f t="shared" si="4"/>
        <v>|</v>
      </c>
    </row>
    <row r="123" spans="16:704" x14ac:dyDescent="0.25">
      <c r="P123" s="14">
        <v>45717</v>
      </c>
      <c r="Q123" s="14">
        <v>45718</v>
      </c>
      <c r="R123" s="14">
        <v>45747</v>
      </c>
      <c r="S123" s="14" t="s">
        <v>117</v>
      </c>
      <c r="T123" s="14" t="s">
        <v>117</v>
      </c>
      <c r="U123" s="14" t="s">
        <v>117</v>
      </c>
      <c r="V123" s="14" t="s">
        <v>117</v>
      </c>
      <c r="W123" s="14" t="s">
        <v>117</v>
      </c>
      <c r="X123" s="14" t="s">
        <v>117</v>
      </c>
      <c r="Y123" s="14" t="s">
        <v>117</v>
      </c>
      <c r="Z123" s="14" t="s">
        <v>117</v>
      </c>
      <c r="AA123" s="14" t="s">
        <v>117</v>
      </c>
      <c r="AB123" s="14" t="s">
        <v>117</v>
      </c>
      <c r="AC123" s="14" t="s">
        <v>117</v>
      </c>
      <c r="ZZ123" t="str">
        <f t="shared" si="3"/>
        <v>|</v>
      </c>
      <c r="AAB123" t="str">
        <f t="shared" si="4"/>
        <v>|</v>
      </c>
    </row>
    <row r="124" spans="16:704" x14ac:dyDescent="0.25">
      <c r="P124" s="14">
        <v>45713</v>
      </c>
      <c r="Q124" s="14">
        <v>45713</v>
      </c>
      <c r="R124" s="14">
        <v>45747</v>
      </c>
      <c r="S124" s="14" t="s">
        <v>117</v>
      </c>
      <c r="T124" s="14" t="s">
        <v>117</v>
      </c>
      <c r="U124" s="14" t="s">
        <v>117</v>
      </c>
      <c r="V124" s="14" t="s">
        <v>117</v>
      </c>
      <c r="W124" s="14" t="s">
        <v>117</v>
      </c>
      <c r="X124" s="14" t="s">
        <v>117</v>
      </c>
      <c r="Y124" s="14" t="s">
        <v>117</v>
      </c>
      <c r="Z124" s="14" t="s">
        <v>117</v>
      </c>
      <c r="AA124" s="14" t="s">
        <v>117</v>
      </c>
      <c r="AB124" s="14" t="s">
        <v>117</v>
      </c>
      <c r="AC124" s="14" t="s">
        <v>117</v>
      </c>
      <c r="ZZ124" t="str">
        <f t="shared" si="3"/>
        <v>|</v>
      </c>
      <c r="AAB124" t="str">
        <f t="shared" si="4"/>
        <v>|</v>
      </c>
    </row>
    <row r="125" spans="16:704" x14ac:dyDescent="0.25">
      <c r="P125" s="14">
        <v>45717</v>
      </c>
      <c r="Q125" s="14">
        <v>45717</v>
      </c>
      <c r="R125" s="14">
        <v>45751</v>
      </c>
      <c r="S125" s="14" t="s">
        <v>117</v>
      </c>
      <c r="T125" s="14" t="s">
        <v>117</v>
      </c>
      <c r="U125" s="14" t="s">
        <v>117</v>
      </c>
      <c r="V125" s="14" t="s">
        <v>117</v>
      </c>
      <c r="W125" s="14" t="s">
        <v>117</v>
      </c>
      <c r="X125" s="14" t="s">
        <v>117</v>
      </c>
      <c r="Y125" s="14" t="s">
        <v>117</v>
      </c>
      <c r="Z125" s="14" t="s">
        <v>117</v>
      </c>
      <c r="AA125" s="14" t="s">
        <v>117</v>
      </c>
      <c r="AB125" s="14" t="s">
        <v>117</v>
      </c>
      <c r="AC125" s="14" t="s">
        <v>117</v>
      </c>
      <c r="ZZ125" t="str">
        <f t="shared" si="3"/>
        <v>|</v>
      </c>
      <c r="AAB125" t="str">
        <f t="shared" si="4"/>
        <v>|</v>
      </c>
    </row>
    <row r="126" spans="16:704" x14ac:dyDescent="0.25">
      <c r="P126" s="14">
        <v>45717</v>
      </c>
      <c r="Q126" s="14">
        <v>45717</v>
      </c>
      <c r="R126" s="14">
        <v>45751</v>
      </c>
      <c r="S126" s="14" t="s">
        <v>117</v>
      </c>
      <c r="T126" s="14" t="s">
        <v>117</v>
      </c>
      <c r="U126" s="14" t="s">
        <v>117</v>
      </c>
      <c r="V126" s="14" t="s">
        <v>117</v>
      </c>
      <c r="W126" s="14" t="s">
        <v>117</v>
      </c>
      <c r="X126" s="14" t="s">
        <v>117</v>
      </c>
      <c r="Y126" s="14" t="s">
        <v>117</v>
      </c>
      <c r="Z126" s="14" t="s">
        <v>117</v>
      </c>
      <c r="AA126" s="14" t="s">
        <v>117</v>
      </c>
      <c r="AB126" s="14" t="s">
        <v>117</v>
      </c>
      <c r="AC126" s="14" t="s">
        <v>117</v>
      </c>
      <c r="ZZ126" t="str">
        <f t="shared" si="3"/>
        <v>|</v>
      </c>
      <c r="AAB126" t="str">
        <f t="shared" si="4"/>
        <v>|</v>
      </c>
    </row>
    <row r="127" spans="16:704" x14ac:dyDescent="0.25">
      <c r="P127" s="14">
        <v>45717</v>
      </c>
      <c r="Q127" s="14">
        <v>45717</v>
      </c>
      <c r="R127" s="14">
        <v>45751</v>
      </c>
      <c r="S127" s="14" t="s">
        <v>117</v>
      </c>
      <c r="T127" s="14" t="s">
        <v>117</v>
      </c>
      <c r="U127" s="14" t="s">
        <v>117</v>
      </c>
      <c r="V127" s="14" t="s">
        <v>117</v>
      </c>
      <c r="W127" s="14" t="s">
        <v>117</v>
      </c>
      <c r="X127" s="14" t="s">
        <v>117</v>
      </c>
      <c r="Y127" s="14" t="s">
        <v>117</v>
      </c>
      <c r="Z127" s="14" t="s">
        <v>117</v>
      </c>
      <c r="AA127" s="14" t="s">
        <v>117</v>
      </c>
      <c r="AB127" s="14" t="s">
        <v>117</v>
      </c>
      <c r="AC127" s="14" t="s">
        <v>117</v>
      </c>
      <c r="ZZ127" t="str">
        <f t="shared" si="3"/>
        <v>|</v>
      </c>
      <c r="AAB127" t="str">
        <f t="shared" si="4"/>
        <v>|</v>
      </c>
    </row>
    <row r="128" spans="16:704" x14ac:dyDescent="0.25">
      <c r="P128" s="14">
        <v>45716</v>
      </c>
      <c r="Q128" s="14">
        <v>45716</v>
      </c>
      <c r="R128" s="14">
        <v>45751</v>
      </c>
      <c r="S128" s="14" t="s">
        <v>117</v>
      </c>
      <c r="T128" s="14" t="s">
        <v>117</v>
      </c>
      <c r="U128" s="14" t="s">
        <v>117</v>
      </c>
      <c r="V128" s="14" t="s">
        <v>117</v>
      </c>
      <c r="W128" s="14" t="s">
        <v>117</v>
      </c>
      <c r="X128" s="14" t="s">
        <v>117</v>
      </c>
      <c r="Y128" s="14" t="s">
        <v>117</v>
      </c>
      <c r="Z128" s="14" t="s">
        <v>117</v>
      </c>
      <c r="AA128" s="14" t="s">
        <v>117</v>
      </c>
      <c r="AB128" s="14" t="s">
        <v>117</v>
      </c>
      <c r="AC128" s="14" t="s">
        <v>117</v>
      </c>
      <c r="ZZ128" t="str">
        <f t="shared" si="3"/>
        <v>|</v>
      </c>
      <c r="AAB128" t="str">
        <f t="shared" si="4"/>
        <v>|</v>
      </c>
    </row>
    <row r="129" spans="16:704" x14ac:dyDescent="0.25">
      <c r="P129" s="14">
        <v>45717</v>
      </c>
      <c r="Q129" s="14">
        <v>45717</v>
      </c>
      <c r="R129" s="14">
        <v>45757</v>
      </c>
      <c r="S129" s="14" t="s">
        <v>117</v>
      </c>
      <c r="T129" s="14">
        <v>45757</v>
      </c>
      <c r="U129" s="14" t="s">
        <v>117</v>
      </c>
      <c r="V129" s="14" t="s">
        <v>117</v>
      </c>
      <c r="W129" s="14" t="s">
        <v>117</v>
      </c>
      <c r="X129" s="14" t="s">
        <v>117</v>
      </c>
      <c r="Y129" s="14" t="s">
        <v>117</v>
      </c>
      <c r="Z129" s="14" t="s">
        <v>117</v>
      </c>
      <c r="AA129" s="14" t="s">
        <v>117</v>
      </c>
      <c r="AB129" s="14" t="s">
        <v>117</v>
      </c>
      <c r="AC129" s="14" t="s">
        <v>117</v>
      </c>
      <c r="ZZ129" t="str">
        <f t="shared" si="3"/>
        <v>|</v>
      </c>
      <c r="AAB129" t="str">
        <f t="shared" ref="AAB129:AAB142" si="5">G129&amp; "|" &amp;E129</f>
        <v>|</v>
      </c>
    </row>
    <row r="130" spans="16:704" x14ac:dyDescent="0.25">
      <c r="P130" s="14">
        <v>45717</v>
      </c>
      <c r="Q130" s="14">
        <v>45717</v>
      </c>
      <c r="R130" s="14">
        <v>45757</v>
      </c>
      <c r="S130" s="14" t="s">
        <v>117</v>
      </c>
      <c r="T130" s="14">
        <v>45757</v>
      </c>
      <c r="U130" s="14" t="s">
        <v>117</v>
      </c>
      <c r="V130" s="14" t="s">
        <v>117</v>
      </c>
      <c r="W130" s="14" t="s">
        <v>117</v>
      </c>
      <c r="X130" s="14" t="s">
        <v>117</v>
      </c>
      <c r="Y130" s="14" t="s">
        <v>117</v>
      </c>
      <c r="Z130" s="14" t="s">
        <v>117</v>
      </c>
      <c r="AA130" s="14" t="s">
        <v>117</v>
      </c>
      <c r="AB130" s="14" t="s">
        <v>117</v>
      </c>
      <c r="AC130" s="14" t="s">
        <v>117</v>
      </c>
      <c r="ZZ130" t="str">
        <f t="shared" ref="ZZ130:ZZ142" si="6">G130&amp; "|" &amp;E130</f>
        <v>|</v>
      </c>
      <c r="AAB130" t="str">
        <f t="shared" si="5"/>
        <v>|</v>
      </c>
    </row>
    <row r="131" spans="16:704" x14ac:dyDescent="0.25">
      <c r="P131" s="14">
        <v>45719</v>
      </c>
      <c r="Q131" s="14">
        <v>45719</v>
      </c>
      <c r="R131" s="14">
        <v>45757</v>
      </c>
      <c r="S131" s="14" t="s">
        <v>117</v>
      </c>
      <c r="T131" s="14" t="s">
        <v>117</v>
      </c>
      <c r="U131" s="14" t="s">
        <v>117</v>
      </c>
      <c r="V131" s="14" t="s">
        <v>117</v>
      </c>
      <c r="W131" s="14" t="s">
        <v>117</v>
      </c>
      <c r="X131" s="14" t="s">
        <v>117</v>
      </c>
      <c r="Y131" s="14" t="s">
        <v>117</v>
      </c>
      <c r="Z131" s="14" t="s">
        <v>117</v>
      </c>
      <c r="AA131" s="14" t="s">
        <v>117</v>
      </c>
      <c r="AB131" s="14" t="s">
        <v>117</v>
      </c>
      <c r="AC131" s="14" t="s">
        <v>117</v>
      </c>
      <c r="ZZ131" t="str">
        <f t="shared" si="6"/>
        <v>|</v>
      </c>
      <c r="AAB131" t="str">
        <f t="shared" si="5"/>
        <v>|</v>
      </c>
    </row>
    <row r="132" spans="16:704" x14ac:dyDescent="0.25">
      <c r="P132" s="14">
        <v>45716</v>
      </c>
      <c r="Q132" s="14">
        <v>45716</v>
      </c>
      <c r="R132" s="14">
        <v>45757</v>
      </c>
      <c r="S132" s="14" t="s">
        <v>117</v>
      </c>
      <c r="T132" s="14" t="s">
        <v>117</v>
      </c>
      <c r="U132" s="14" t="s">
        <v>117</v>
      </c>
      <c r="V132" s="14" t="s">
        <v>117</v>
      </c>
      <c r="W132" s="14" t="s">
        <v>117</v>
      </c>
      <c r="X132" s="14" t="s">
        <v>117</v>
      </c>
      <c r="Y132" s="14" t="s">
        <v>117</v>
      </c>
      <c r="Z132" s="14" t="s">
        <v>117</v>
      </c>
      <c r="AA132" s="14" t="s">
        <v>117</v>
      </c>
      <c r="AB132" s="14" t="s">
        <v>117</v>
      </c>
      <c r="AC132" s="14" t="s">
        <v>117</v>
      </c>
      <c r="ZZ132" t="str">
        <f t="shared" si="6"/>
        <v>|</v>
      </c>
      <c r="AAB132" t="str">
        <f t="shared" si="5"/>
        <v>|</v>
      </c>
    </row>
    <row r="133" spans="16:704" x14ac:dyDescent="0.25">
      <c r="P133" s="14">
        <v>45725</v>
      </c>
      <c r="Q133" s="14">
        <v>45725</v>
      </c>
      <c r="R133" s="14">
        <v>45759</v>
      </c>
      <c r="S133" s="14" t="s">
        <v>117</v>
      </c>
      <c r="T133" s="14">
        <v>45761</v>
      </c>
      <c r="U133" s="14" t="s">
        <v>117</v>
      </c>
      <c r="V133" s="14" t="s">
        <v>117</v>
      </c>
      <c r="W133" s="14" t="s">
        <v>117</v>
      </c>
      <c r="X133" s="14" t="s">
        <v>117</v>
      </c>
      <c r="Y133" s="14" t="s">
        <v>117</v>
      </c>
      <c r="Z133" s="14" t="s">
        <v>117</v>
      </c>
      <c r="AA133" s="14" t="s">
        <v>117</v>
      </c>
      <c r="AB133" s="14" t="s">
        <v>117</v>
      </c>
      <c r="AC133" s="14" t="s">
        <v>117</v>
      </c>
      <c r="ZZ133" t="str">
        <f t="shared" si="6"/>
        <v>|</v>
      </c>
      <c r="AAB133" t="str">
        <f t="shared" si="5"/>
        <v>|</v>
      </c>
    </row>
    <row r="134" spans="16:704" x14ac:dyDescent="0.25">
      <c r="P134" s="14">
        <v>45728</v>
      </c>
      <c r="Q134" s="14" t="s">
        <v>117</v>
      </c>
      <c r="R134" s="14">
        <v>45761</v>
      </c>
      <c r="S134" s="14" t="s">
        <v>117</v>
      </c>
      <c r="T134" s="14">
        <v>45761</v>
      </c>
      <c r="U134" s="14" t="s">
        <v>117</v>
      </c>
      <c r="V134" s="14" t="s">
        <v>117</v>
      </c>
      <c r="W134" s="14" t="s">
        <v>117</v>
      </c>
      <c r="X134" s="14" t="s">
        <v>117</v>
      </c>
      <c r="Y134" s="14" t="s">
        <v>117</v>
      </c>
      <c r="Z134" s="14" t="s">
        <v>117</v>
      </c>
      <c r="AA134" s="14" t="s">
        <v>117</v>
      </c>
      <c r="AB134" s="14" t="s">
        <v>117</v>
      </c>
      <c r="AC134" s="14" t="s">
        <v>117</v>
      </c>
      <c r="ZZ134" t="str">
        <f t="shared" si="6"/>
        <v>|</v>
      </c>
      <c r="AAB134" t="str">
        <f t="shared" si="5"/>
        <v>|</v>
      </c>
    </row>
    <row r="135" spans="16:704" x14ac:dyDescent="0.25">
      <c r="P135" s="14">
        <v>45728</v>
      </c>
      <c r="Q135" s="14">
        <v>45728</v>
      </c>
      <c r="R135" s="14">
        <v>45761</v>
      </c>
      <c r="S135" s="14" t="s">
        <v>117</v>
      </c>
      <c r="T135" s="14">
        <v>45761</v>
      </c>
      <c r="U135" s="14" t="s">
        <v>117</v>
      </c>
      <c r="V135" s="14" t="s">
        <v>117</v>
      </c>
      <c r="W135" s="14" t="s">
        <v>117</v>
      </c>
      <c r="X135" s="14" t="s">
        <v>117</v>
      </c>
      <c r="Y135" s="14" t="s">
        <v>117</v>
      </c>
      <c r="Z135" s="14" t="s">
        <v>117</v>
      </c>
      <c r="AA135" s="14" t="s">
        <v>117</v>
      </c>
      <c r="AB135" s="14" t="s">
        <v>117</v>
      </c>
      <c r="AC135" s="14" t="s">
        <v>117</v>
      </c>
      <c r="ZZ135" t="str">
        <f t="shared" si="6"/>
        <v>|</v>
      </c>
      <c r="AAB135" t="str">
        <f t="shared" si="5"/>
        <v>|</v>
      </c>
    </row>
    <row r="136" spans="16:704" x14ac:dyDescent="0.25">
      <c r="P136" s="14">
        <v>45729</v>
      </c>
      <c r="Q136" s="14" t="s">
        <v>117</v>
      </c>
      <c r="R136" s="14">
        <v>45762</v>
      </c>
      <c r="S136" s="14" t="s">
        <v>117</v>
      </c>
      <c r="T136" s="14">
        <v>45769</v>
      </c>
      <c r="U136" s="14" t="s">
        <v>117</v>
      </c>
      <c r="V136" s="14" t="s">
        <v>117</v>
      </c>
      <c r="W136" s="14" t="s">
        <v>117</v>
      </c>
      <c r="X136" s="14" t="s">
        <v>117</v>
      </c>
      <c r="Y136" s="14" t="s">
        <v>117</v>
      </c>
      <c r="Z136" s="14" t="s">
        <v>117</v>
      </c>
      <c r="AA136" s="14" t="s">
        <v>117</v>
      </c>
      <c r="AB136" s="14" t="s">
        <v>117</v>
      </c>
      <c r="AC136" s="14" t="s">
        <v>117</v>
      </c>
      <c r="ZZ136" t="str">
        <f t="shared" si="6"/>
        <v>|</v>
      </c>
      <c r="AAB136" t="str">
        <f t="shared" si="5"/>
        <v>|</v>
      </c>
    </row>
    <row r="137" spans="16:704" x14ac:dyDescent="0.25">
      <c r="P137" s="14">
        <v>45725</v>
      </c>
      <c r="Q137" s="14">
        <v>45725</v>
      </c>
      <c r="R137" s="14">
        <v>45765</v>
      </c>
      <c r="S137" s="14" t="s">
        <v>117</v>
      </c>
      <c r="T137" s="14">
        <v>45770</v>
      </c>
      <c r="U137" s="14" t="s">
        <v>117</v>
      </c>
      <c r="V137" s="14" t="s">
        <v>117</v>
      </c>
      <c r="W137" s="14" t="s">
        <v>117</v>
      </c>
      <c r="X137" s="14" t="s">
        <v>117</v>
      </c>
      <c r="Y137" s="14" t="s">
        <v>117</v>
      </c>
      <c r="Z137" s="14" t="s">
        <v>117</v>
      </c>
      <c r="AA137" s="14" t="s">
        <v>117</v>
      </c>
      <c r="AB137" s="14" t="s">
        <v>117</v>
      </c>
      <c r="AC137" s="14" t="s">
        <v>117</v>
      </c>
      <c r="ZZ137" t="str">
        <f t="shared" si="6"/>
        <v>|</v>
      </c>
      <c r="AAB137" t="str">
        <f t="shared" si="5"/>
        <v>|</v>
      </c>
    </row>
    <row r="138" spans="16:704" x14ac:dyDescent="0.25">
      <c r="P138" s="14">
        <v>45733</v>
      </c>
      <c r="Q138" s="14" t="s">
        <v>117</v>
      </c>
      <c r="R138" s="14">
        <v>45768</v>
      </c>
      <c r="S138" s="14" t="s">
        <v>117</v>
      </c>
      <c r="T138" s="14" t="s">
        <v>117</v>
      </c>
      <c r="U138" s="14" t="s">
        <v>117</v>
      </c>
      <c r="V138" s="14" t="s">
        <v>117</v>
      </c>
      <c r="W138" s="14" t="s">
        <v>117</v>
      </c>
      <c r="X138" s="14" t="s">
        <v>117</v>
      </c>
      <c r="Y138" s="14" t="s">
        <v>117</v>
      </c>
      <c r="Z138" s="14" t="s">
        <v>117</v>
      </c>
      <c r="AA138" s="14" t="s">
        <v>117</v>
      </c>
      <c r="AB138" s="14" t="s">
        <v>117</v>
      </c>
      <c r="AC138" s="14" t="s">
        <v>117</v>
      </c>
      <c r="ZZ138" t="str">
        <f t="shared" si="6"/>
        <v>|</v>
      </c>
      <c r="AAB138" t="str">
        <f t="shared" si="5"/>
        <v>|</v>
      </c>
    </row>
    <row r="139" spans="16:704" x14ac:dyDescent="0.25">
      <c r="P139" s="14">
        <v>45731</v>
      </c>
      <c r="Q139" s="14" t="s">
        <v>117</v>
      </c>
      <c r="R139" s="14">
        <v>45768</v>
      </c>
      <c r="S139" s="14" t="s">
        <v>117</v>
      </c>
      <c r="T139" s="14" t="s">
        <v>117</v>
      </c>
      <c r="U139" s="14" t="s">
        <v>117</v>
      </c>
      <c r="V139" s="14" t="s">
        <v>117</v>
      </c>
      <c r="W139" s="14" t="s">
        <v>117</v>
      </c>
      <c r="X139" s="14" t="s">
        <v>117</v>
      </c>
      <c r="Y139" s="14" t="s">
        <v>117</v>
      </c>
      <c r="Z139" s="14" t="s">
        <v>117</v>
      </c>
      <c r="AA139" s="14" t="s">
        <v>117</v>
      </c>
      <c r="AB139" s="14" t="s">
        <v>117</v>
      </c>
      <c r="AC139" s="14" t="s">
        <v>117</v>
      </c>
      <c r="ZZ139" t="str">
        <f t="shared" si="6"/>
        <v>|</v>
      </c>
      <c r="AAB139" t="str">
        <f t="shared" si="5"/>
        <v>|</v>
      </c>
    </row>
    <row r="140" spans="16:704" x14ac:dyDescent="0.25">
      <c r="P140" s="14">
        <v>45731</v>
      </c>
      <c r="Q140" s="14" t="s">
        <v>117</v>
      </c>
      <c r="R140" s="14">
        <v>45768</v>
      </c>
      <c r="S140" s="14" t="s">
        <v>117</v>
      </c>
      <c r="T140" s="14" t="s">
        <v>117</v>
      </c>
      <c r="U140" s="14" t="s">
        <v>117</v>
      </c>
      <c r="V140" s="14" t="s">
        <v>117</v>
      </c>
      <c r="W140" s="14" t="s">
        <v>117</v>
      </c>
      <c r="X140" s="14" t="s">
        <v>117</v>
      </c>
      <c r="Y140" s="14" t="s">
        <v>117</v>
      </c>
      <c r="Z140" s="14" t="s">
        <v>117</v>
      </c>
      <c r="AA140" s="14" t="s">
        <v>117</v>
      </c>
      <c r="AB140" s="14" t="s">
        <v>117</v>
      </c>
      <c r="AC140" s="14" t="s">
        <v>117</v>
      </c>
      <c r="ZZ140" t="str">
        <f t="shared" si="6"/>
        <v>|</v>
      </c>
      <c r="AAB140" t="str">
        <f t="shared" si="5"/>
        <v>|</v>
      </c>
    </row>
    <row r="141" spans="16:704" x14ac:dyDescent="0.25">
      <c r="P141" s="14">
        <v>45735</v>
      </c>
      <c r="Q141" s="14" t="s">
        <v>117</v>
      </c>
      <c r="R141" s="14">
        <v>45769</v>
      </c>
      <c r="S141" s="14" t="s">
        <v>117</v>
      </c>
      <c r="T141" s="14">
        <v>45769</v>
      </c>
      <c r="U141" s="14" t="s">
        <v>117</v>
      </c>
      <c r="V141" s="14" t="s">
        <v>117</v>
      </c>
      <c r="W141" s="14" t="s">
        <v>117</v>
      </c>
      <c r="X141" s="14" t="s">
        <v>117</v>
      </c>
      <c r="Y141" s="14" t="s">
        <v>117</v>
      </c>
      <c r="Z141" s="14" t="s">
        <v>117</v>
      </c>
      <c r="AA141" s="14" t="s">
        <v>117</v>
      </c>
      <c r="AB141" s="14" t="s">
        <v>117</v>
      </c>
      <c r="AC141" s="14" t="s">
        <v>117</v>
      </c>
      <c r="ZZ141" t="str">
        <f t="shared" si="6"/>
        <v>|</v>
      </c>
      <c r="AAB141" t="str">
        <f t="shared" si="5"/>
        <v>|</v>
      </c>
    </row>
    <row r="142" spans="16:704" x14ac:dyDescent="0.25">
      <c r="P142" s="14">
        <v>45735</v>
      </c>
      <c r="Q142" s="14" t="s">
        <v>117</v>
      </c>
      <c r="R142" s="14">
        <v>45769</v>
      </c>
      <c r="S142" s="14" t="s">
        <v>117</v>
      </c>
      <c r="T142" s="14">
        <v>45769</v>
      </c>
      <c r="U142" s="14" t="s">
        <v>117</v>
      </c>
      <c r="V142" s="14" t="s">
        <v>117</v>
      </c>
      <c r="W142" s="14" t="s">
        <v>117</v>
      </c>
      <c r="X142" s="14" t="s">
        <v>117</v>
      </c>
      <c r="Y142" s="14" t="s">
        <v>117</v>
      </c>
      <c r="Z142" s="14" t="s">
        <v>117</v>
      </c>
      <c r="AA142" s="14" t="s">
        <v>117</v>
      </c>
      <c r="AB142" s="14" t="s">
        <v>117</v>
      </c>
      <c r="AC142" s="14" t="s">
        <v>117</v>
      </c>
      <c r="ZZ142" t="str">
        <f t="shared" si="6"/>
        <v>|</v>
      </c>
      <c r="AAB142" t="str">
        <f t="shared" si="5"/>
        <v>|</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4B599-51B2-914B-BED3-794D109E3142}">
  <sheetPr codeName="Sheet3"/>
  <dimension ref="A1:AAA58"/>
  <sheetViews>
    <sheetView zoomScaleNormal="100" workbookViewId="0">
      <pane ySplit="1" topLeftCell="A2" activePane="bottomLeft" state="frozen"/>
      <selection pane="bottomLeft" activeCell="Z17" sqref="Z17"/>
    </sheetView>
  </sheetViews>
  <sheetFormatPr defaultColWidth="11" defaultRowHeight="15.75" x14ac:dyDescent="0.25"/>
  <cols>
    <col min="1" max="1" width="10.125" bestFit="1" customWidth="1"/>
    <col min="2" max="2" width="7" bestFit="1" customWidth="1"/>
    <col min="3" max="3" width="20" bestFit="1" customWidth="1"/>
    <col min="4" max="4" width="20.875" bestFit="1" customWidth="1"/>
    <col min="5" max="5" width="18.875" bestFit="1" customWidth="1"/>
    <col min="6" max="6" width="9.875" bestFit="1" customWidth="1"/>
    <col min="7" max="7" width="12" bestFit="1" customWidth="1"/>
    <col min="8" max="8" width="18.875" bestFit="1" customWidth="1"/>
    <col min="9" max="9" width="22.125" bestFit="1" customWidth="1"/>
    <col min="10" max="10" width="16" bestFit="1" customWidth="1"/>
    <col min="11" max="11" width="20.5" bestFit="1" customWidth="1"/>
    <col min="12" max="12" width="17.125" bestFit="1" customWidth="1"/>
    <col min="13" max="13" width="43.625" bestFit="1" customWidth="1"/>
    <col min="14" max="14" width="25.375" style="14" bestFit="1" customWidth="1"/>
    <col min="15" max="15" width="20" style="14" bestFit="1" customWidth="1"/>
    <col min="16" max="16" width="13.375" bestFit="1" customWidth="1"/>
    <col min="17" max="17" width="23.5" style="14" bestFit="1" customWidth="1"/>
    <col min="18" max="18" width="25.125" style="14" bestFit="1" customWidth="1"/>
    <col min="19" max="19" width="11.125" style="14" bestFit="1" customWidth="1"/>
    <col min="20" max="20" width="13.375" bestFit="1" customWidth="1"/>
    <col min="21" max="21" width="20.5" style="14" bestFit="1" customWidth="1"/>
    <col min="22" max="22" width="18.875" style="14" bestFit="1" customWidth="1"/>
    <col min="23" max="23" width="34.875" style="14" bestFit="1" customWidth="1"/>
    <col min="24" max="24" width="15.5" style="14" bestFit="1" customWidth="1"/>
    <col min="25" max="25" width="14.625" style="14" bestFit="1" customWidth="1"/>
    <col min="26" max="26" width="19.375" style="14" bestFit="1" customWidth="1"/>
    <col min="27" max="27" width="20" style="14" bestFit="1" customWidth="1"/>
    <col min="28" max="28" width="9.625" style="14" bestFit="1" customWidth="1"/>
    <col min="31" max="35" width="10.875" bestFit="1" customWidth="1"/>
    <col min="702" max="702" width="14.375" bestFit="1" customWidth="1"/>
    <col min="703" max="703" width="31.5" bestFit="1" customWidth="1"/>
  </cols>
  <sheetData>
    <row r="1" spans="1:703" x14ac:dyDescent="0.25">
      <c r="A1" t="s">
        <v>170</v>
      </c>
      <c r="B1" t="s">
        <v>163</v>
      </c>
      <c r="C1" t="s">
        <v>6</v>
      </c>
      <c r="D1" t="s">
        <v>8</v>
      </c>
      <c r="E1" t="s">
        <v>5</v>
      </c>
      <c r="F1" t="s">
        <v>157</v>
      </c>
      <c r="G1" t="s">
        <v>169</v>
      </c>
      <c r="H1" t="s">
        <v>15</v>
      </c>
      <c r="I1" t="s">
        <v>171</v>
      </c>
      <c r="J1" t="s">
        <v>145</v>
      </c>
      <c r="K1" t="s">
        <v>173</v>
      </c>
      <c r="L1" t="s">
        <v>320</v>
      </c>
      <c r="M1" t="s">
        <v>146</v>
      </c>
      <c r="N1" s="14" t="s">
        <v>22</v>
      </c>
      <c r="O1" s="14" t="s">
        <v>29</v>
      </c>
      <c r="P1" t="s">
        <v>164</v>
      </c>
      <c r="Q1" s="14" t="s">
        <v>165</v>
      </c>
      <c r="R1" s="14" t="s">
        <v>338</v>
      </c>
      <c r="S1" s="14" t="s">
        <v>166</v>
      </c>
      <c r="T1" t="s">
        <v>172</v>
      </c>
      <c r="U1" s="14" t="s">
        <v>167</v>
      </c>
      <c r="V1" s="14" t="s">
        <v>57</v>
      </c>
      <c r="W1" s="14" t="s">
        <v>168</v>
      </c>
      <c r="X1" s="14" t="s">
        <v>174</v>
      </c>
      <c r="Y1" s="14" t="s">
        <v>50</v>
      </c>
      <c r="Z1" s="14" t="s">
        <v>92</v>
      </c>
      <c r="AA1" s="14" t="s">
        <v>175</v>
      </c>
      <c r="AB1" s="14" t="s">
        <v>176</v>
      </c>
      <c r="ZZ1" t="s">
        <v>142</v>
      </c>
      <c r="AAA1" t="s">
        <v>192</v>
      </c>
    </row>
    <row r="2" spans="1:703" x14ac:dyDescent="0.25">
      <c r="K2" s="14"/>
      <c r="L2" s="14"/>
      <c r="ZZ2" t="str">
        <f t="shared" ref="ZZ2" si="0">E3&amp; "|" &amp;C3</f>
        <v>|</v>
      </c>
    </row>
    <row r="3" spans="1:703" x14ac:dyDescent="0.25">
      <c r="K3" s="14"/>
      <c r="L3" s="14"/>
    </row>
    <row r="4" spans="1:703" x14ac:dyDescent="0.25">
      <c r="K4" s="14"/>
      <c r="L4" s="14"/>
    </row>
    <row r="5" spans="1:703" x14ac:dyDescent="0.25">
      <c r="B5" s="2"/>
      <c r="K5" s="14"/>
      <c r="L5" s="14"/>
    </row>
    <row r="6" spans="1:703" x14ac:dyDescent="0.25">
      <c r="K6" s="14"/>
      <c r="L6" s="14"/>
    </row>
    <row r="7" spans="1:703" x14ac:dyDescent="0.25">
      <c r="K7" s="14"/>
      <c r="L7" s="14"/>
    </row>
    <row r="8" spans="1:703" x14ac:dyDescent="0.25">
      <c r="K8" s="14"/>
      <c r="L8" s="14"/>
    </row>
    <row r="9" spans="1:703" x14ac:dyDescent="0.25">
      <c r="K9" s="14"/>
      <c r="L9" s="14"/>
    </row>
    <row r="10" spans="1:703" x14ac:dyDescent="0.25">
      <c r="K10" s="14"/>
      <c r="L10" s="14"/>
    </row>
    <row r="11" spans="1:703" x14ac:dyDescent="0.25">
      <c r="K11" s="14"/>
      <c r="L11" s="14"/>
    </row>
    <row r="12" spans="1:703" x14ac:dyDescent="0.25">
      <c r="K12" s="14"/>
      <c r="L12" s="14"/>
    </row>
    <row r="13" spans="1:703" x14ac:dyDescent="0.25">
      <c r="K13" s="14"/>
      <c r="L13" s="14"/>
    </row>
    <row r="14" spans="1:703" x14ac:dyDescent="0.25">
      <c r="K14" s="14"/>
      <c r="L14" s="14"/>
    </row>
    <row r="15" spans="1:703" x14ac:dyDescent="0.25">
      <c r="K15" s="14"/>
      <c r="L15" s="14"/>
    </row>
    <row r="16" spans="1:703" x14ac:dyDescent="0.25">
      <c r="K16" s="14"/>
      <c r="L16" s="14"/>
    </row>
    <row r="17" spans="2:12" x14ac:dyDescent="0.25">
      <c r="K17" s="14"/>
      <c r="L17" s="14"/>
    </row>
    <row r="18" spans="2:12" x14ac:dyDescent="0.25">
      <c r="K18" s="14"/>
      <c r="L18" s="14"/>
    </row>
    <row r="19" spans="2:12" x14ac:dyDescent="0.25">
      <c r="K19" s="14"/>
      <c r="L19" s="14"/>
    </row>
    <row r="20" spans="2:12" x14ac:dyDescent="0.25">
      <c r="K20" s="14"/>
      <c r="L20" s="14"/>
    </row>
    <row r="21" spans="2:12" x14ac:dyDescent="0.25">
      <c r="K21" s="14"/>
      <c r="L21" s="14"/>
    </row>
    <row r="22" spans="2:12" x14ac:dyDescent="0.25">
      <c r="K22" s="14"/>
      <c r="L22" s="14"/>
    </row>
    <row r="23" spans="2:12" x14ac:dyDescent="0.25">
      <c r="B23" s="2"/>
      <c r="K23" s="14"/>
      <c r="L23" s="14"/>
    </row>
    <row r="24" spans="2:12" x14ac:dyDescent="0.25">
      <c r="K24" s="14"/>
      <c r="L24" s="14"/>
    </row>
    <row r="25" spans="2:12" x14ac:dyDescent="0.25">
      <c r="K25" s="14"/>
      <c r="L25" s="14"/>
    </row>
    <row r="26" spans="2:12" x14ac:dyDescent="0.25">
      <c r="K26" s="14"/>
      <c r="L26" s="14"/>
    </row>
    <row r="27" spans="2:12" x14ac:dyDescent="0.25">
      <c r="K27" s="14"/>
      <c r="L27" s="14"/>
    </row>
    <row r="28" spans="2:12" x14ac:dyDescent="0.25">
      <c r="K28" s="14"/>
    </row>
    <row r="29" spans="2:12" x14ac:dyDescent="0.25">
      <c r="K29" s="14"/>
      <c r="L29" s="14"/>
    </row>
    <row r="30" spans="2:12" x14ac:dyDescent="0.25">
      <c r="K30" s="14"/>
      <c r="L30" s="14"/>
    </row>
    <row r="31" spans="2:12" x14ac:dyDescent="0.25">
      <c r="K31" s="14"/>
      <c r="L31" s="14"/>
    </row>
    <row r="32" spans="2:12" x14ac:dyDescent="0.25">
      <c r="K32" s="14"/>
      <c r="L32" s="14"/>
    </row>
    <row r="33" spans="2:12" x14ac:dyDescent="0.25">
      <c r="K33" s="14"/>
      <c r="L33" s="14"/>
    </row>
    <row r="34" spans="2:12" x14ac:dyDescent="0.25">
      <c r="K34" s="14"/>
      <c r="L34" s="14"/>
    </row>
    <row r="35" spans="2:12" x14ac:dyDescent="0.25">
      <c r="K35" s="14"/>
      <c r="L35" s="14"/>
    </row>
    <row r="36" spans="2:12" x14ac:dyDescent="0.25">
      <c r="K36" s="14"/>
      <c r="L36" s="14"/>
    </row>
    <row r="37" spans="2:12" x14ac:dyDescent="0.25">
      <c r="K37" s="14"/>
      <c r="L37" s="14"/>
    </row>
    <row r="38" spans="2:12" x14ac:dyDescent="0.25">
      <c r="K38" s="14"/>
      <c r="L38" s="14"/>
    </row>
    <row r="39" spans="2:12" x14ac:dyDescent="0.25">
      <c r="K39" s="14"/>
      <c r="L39" s="14"/>
    </row>
    <row r="40" spans="2:12" x14ac:dyDescent="0.25">
      <c r="K40" s="14"/>
      <c r="L40" s="14"/>
    </row>
    <row r="41" spans="2:12" x14ac:dyDescent="0.25">
      <c r="K41" s="14"/>
      <c r="L41" s="14"/>
    </row>
    <row r="42" spans="2:12" x14ac:dyDescent="0.25">
      <c r="B42" s="2"/>
      <c r="K42" s="14"/>
      <c r="L42" s="14"/>
    </row>
    <row r="43" spans="2:12" x14ac:dyDescent="0.25">
      <c r="B43" s="2"/>
      <c r="K43" s="14"/>
      <c r="L43" s="14"/>
    </row>
    <row r="44" spans="2:12" x14ac:dyDescent="0.25">
      <c r="K44" s="14"/>
      <c r="L44" s="14"/>
    </row>
    <row r="45" spans="2:12" x14ac:dyDescent="0.25">
      <c r="K45" s="14"/>
      <c r="L45" s="14"/>
    </row>
    <row r="46" spans="2:12" x14ac:dyDescent="0.25">
      <c r="K46" s="14"/>
      <c r="L46" s="14"/>
    </row>
    <row r="47" spans="2:12" x14ac:dyDescent="0.25">
      <c r="K47" s="14"/>
      <c r="L47" s="14"/>
    </row>
    <row r="48" spans="2:12" x14ac:dyDescent="0.25">
      <c r="K48" s="14"/>
      <c r="L48" s="14"/>
    </row>
    <row r="49" spans="11:12" x14ac:dyDescent="0.25">
      <c r="K49" s="14"/>
      <c r="L49" s="14"/>
    </row>
    <row r="50" spans="11:12" x14ac:dyDescent="0.25">
      <c r="K50" s="14"/>
      <c r="L50" s="14"/>
    </row>
    <row r="51" spans="11:12" x14ac:dyDescent="0.25">
      <c r="K51" s="14"/>
      <c r="L51" s="14"/>
    </row>
    <row r="52" spans="11:12" x14ac:dyDescent="0.25">
      <c r="K52" s="14"/>
      <c r="L52" s="14"/>
    </row>
    <row r="53" spans="11:12" x14ac:dyDescent="0.25">
      <c r="K53" s="14"/>
      <c r="L53" s="14"/>
    </row>
    <row r="54" spans="11:12" x14ac:dyDescent="0.25">
      <c r="K54" s="14"/>
      <c r="L54" s="14"/>
    </row>
    <row r="55" spans="11:12" x14ac:dyDescent="0.25">
      <c r="K55" s="14"/>
      <c r="L55" s="14"/>
    </row>
    <row r="56" spans="11:12" x14ac:dyDescent="0.25">
      <c r="K56" s="14"/>
      <c r="L56" s="14"/>
    </row>
    <row r="57" spans="11:12" x14ac:dyDescent="0.25">
      <c r="K57" s="14"/>
    </row>
    <row r="58" spans="11:12" x14ac:dyDescent="0.25">
      <c r="K58" s="14"/>
    </row>
  </sheetData>
  <autoFilter ref="A1:AB1" xr:uid="{38D4B599-51B2-914B-BED3-794D109E3142}"/>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2EE10-5329-4B16-B0E0-9F5FA37CC4DB}">
  <sheetPr codeName="Sheet4"/>
  <dimension ref="A1:AAB2"/>
  <sheetViews>
    <sheetView workbookViewId="0">
      <selection activeCell="A2" sqref="A2"/>
    </sheetView>
  </sheetViews>
  <sheetFormatPr defaultColWidth="8.875" defaultRowHeight="15.75" x14ac:dyDescent="0.25"/>
  <cols>
    <col min="1" max="1" width="15.875" style="14" bestFit="1" customWidth="1"/>
    <col min="2" max="2" width="9.875" bestFit="1" customWidth="1"/>
    <col min="3" max="3" width="11.125" bestFit="1" customWidth="1"/>
    <col min="4" max="4" width="11.875" bestFit="1" customWidth="1"/>
    <col min="6" max="6" width="13.5" bestFit="1" customWidth="1"/>
    <col min="7" max="7" width="13.5" customWidth="1"/>
    <col min="8" max="8" width="16" bestFit="1" customWidth="1"/>
    <col min="9" max="9" width="4.625" bestFit="1" customWidth="1"/>
    <col min="10" max="10" width="17" bestFit="1" customWidth="1"/>
    <col min="11" max="11" width="7.875" style="14" bestFit="1" customWidth="1"/>
    <col min="12" max="12" width="5.625" bestFit="1" customWidth="1"/>
    <col min="13" max="13" width="7.875" style="14" bestFit="1" customWidth="1"/>
    <col min="14" max="14" width="15.5" style="14" bestFit="1" customWidth="1"/>
    <col min="15" max="15" width="16.5" bestFit="1" customWidth="1"/>
    <col min="16" max="16" width="17" style="14" bestFit="1" customWidth="1"/>
    <col min="17" max="17" width="16.375" bestFit="1" customWidth="1"/>
    <col min="18" max="18" width="30.625" bestFit="1" customWidth="1"/>
    <col min="19" max="19" width="19.5" bestFit="1" customWidth="1"/>
    <col min="20" max="20" width="11.5" style="14" bestFit="1" customWidth="1"/>
    <col min="21" max="21" width="18" style="14" bestFit="1" customWidth="1"/>
    <col min="22" max="22" width="12.5" style="14" bestFit="1" customWidth="1"/>
    <col min="23" max="23" width="10.375" bestFit="1" customWidth="1"/>
    <col min="24" max="24" width="15.125" style="14" bestFit="1" customWidth="1"/>
    <col min="25" max="25" width="19.5" bestFit="1" customWidth="1"/>
    <col min="703" max="703" width="14.125" bestFit="1" customWidth="1"/>
  </cols>
  <sheetData>
    <row r="1" spans="1:704" x14ac:dyDescent="0.25">
      <c r="A1" s="14" t="s">
        <v>179</v>
      </c>
      <c r="B1" t="s">
        <v>180</v>
      </c>
      <c r="C1" t="s">
        <v>181</v>
      </c>
      <c r="D1" t="s">
        <v>3</v>
      </c>
      <c r="E1" t="s">
        <v>182</v>
      </c>
      <c r="F1" t="s">
        <v>5</v>
      </c>
      <c r="G1" t="s">
        <v>6</v>
      </c>
      <c r="H1" t="s">
        <v>8</v>
      </c>
      <c r="I1" t="s">
        <v>183</v>
      </c>
      <c r="J1" t="s">
        <v>15</v>
      </c>
      <c r="K1" s="14" t="s">
        <v>22</v>
      </c>
      <c r="L1" t="s">
        <v>184</v>
      </c>
      <c r="M1" s="14" t="s">
        <v>43</v>
      </c>
      <c r="N1" s="14" t="s">
        <v>50</v>
      </c>
      <c r="O1" t="s">
        <v>185</v>
      </c>
      <c r="P1" s="14" t="s">
        <v>57</v>
      </c>
      <c r="Q1" t="s">
        <v>186</v>
      </c>
      <c r="R1" t="s">
        <v>187</v>
      </c>
      <c r="S1" t="s">
        <v>188</v>
      </c>
      <c r="T1" s="14" t="s">
        <v>189</v>
      </c>
      <c r="U1" s="14" t="s">
        <v>64</v>
      </c>
      <c r="V1" s="14" t="s">
        <v>71</v>
      </c>
      <c r="W1" t="s">
        <v>190</v>
      </c>
      <c r="X1" s="14" t="s">
        <v>92</v>
      </c>
      <c r="Y1" t="s">
        <v>191</v>
      </c>
      <c r="ZZ1" t="s">
        <v>142</v>
      </c>
      <c r="AAA1" t="s">
        <v>192</v>
      </c>
      <c r="AAB1" t="s">
        <v>192</v>
      </c>
    </row>
    <row r="2" spans="1:704" x14ac:dyDescent="0.25">
      <c r="ZZ2" t="str">
        <f>F2&amp; "|" &amp;G2</f>
        <v>|</v>
      </c>
      <c r="AAA2">
        <f>D2</f>
        <v>0</v>
      </c>
    </row>
  </sheetData>
  <autoFilter ref="A1:Y1" xr:uid="{3632EE10-5329-4B16-B0E0-9F5FA37CC4DB}"/>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6BE66-2D37-40E5-A44F-39A2810AE9FC}">
  <dimension ref="A1:AAA24"/>
  <sheetViews>
    <sheetView tabSelected="1" topLeftCell="AJ1" workbookViewId="0">
      <selection activeCell="AS5" sqref="AS5"/>
    </sheetView>
  </sheetViews>
  <sheetFormatPr defaultRowHeight="15.75" x14ac:dyDescent="0.25"/>
  <cols>
    <col min="1" max="1" width="9.875" bestFit="1" customWidth="1"/>
    <col min="2" max="2" width="18" bestFit="1" customWidth="1"/>
    <col min="3" max="3" width="13.25" bestFit="1" customWidth="1"/>
    <col min="4" max="4" width="18" bestFit="1" customWidth="1"/>
    <col min="5" max="5" width="16.5" bestFit="1" customWidth="1"/>
    <col min="6" max="6" width="14.25" bestFit="1" customWidth="1"/>
    <col min="7" max="7" width="23.125" bestFit="1" customWidth="1"/>
    <col min="8" max="9" width="19.125" bestFit="1" customWidth="1"/>
    <col min="10" max="10" width="20" bestFit="1" customWidth="1"/>
    <col min="11" max="11" width="15.75" bestFit="1" customWidth="1"/>
    <col min="12" max="12" width="11.875" bestFit="1" customWidth="1"/>
    <col min="13" max="13" width="20.625" bestFit="1" customWidth="1"/>
    <col min="14" max="14" width="38.875" bestFit="1" customWidth="1"/>
    <col min="16" max="16" width="17.625" bestFit="1" customWidth="1"/>
    <col min="24" max="24" width="16.25" bestFit="1" customWidth="1"/>
    <col min="26" max="27" width="17.75" style="14" bestFit="1" customWidth="1"/>
    <col min="28" max="28" width="16.5" style="14" bestFit="1" customWidth="1"/>
    <col min="29" max="30" width="22.25" style="14" bestFit="1" customWidth="1"/>
    <col min="31" max="31" width="27.875" style="14" bestFit="1" customWidth="1"/>
    <col min="32" max="32" width="23.125" style="14" bestFit="1" customWidth="1"/>
    <col min="33" max="33" width="23" style="14" bestFit="1" customWidth="1"/>
    <col min="34" max="34" width="16" style="14" bestFit="1" customWidth="1"/>
    <col min="35" max="35" width="13.125" style="14" bestFit="1" customWidth="1"/>
    <col min="36" max="36" width="17.875" style="14" bestFit="1" customWidth="1"/>
    <col min="37" max="37" width="17.75" style="14" bestFit="1" customWidth="1"/>
    <col min="38" max="38" width="17.875" style="14" bestFit="1" customWidth="1"/>
    <col min="39" max="39" width="17.75" style="14" bestFit="1" customWidth="1"/>
    <col min="40" max="40" width="16.625" style="14" bestFit="1" customWidth="1"/>
    <col min="41" max="41" width="14.25" bestFit="1" customWidth="1"/>
    <col min="42" max="42" width="24.875" bestFit="1" customWidth="1"/>
    <col min="43" max="43" width="11.625" bestFit="1" customWidth="1"/>
    <col min="44" max="44" width="17.375" bestFit="1" customWidth="1"/>
    <col min="45" max="45" width="13.875" bestFit="1" customWidth="1"/>
    <col min="48" max="48" width="19.5" bestFit="1" customWidth="1"/>
    <col min="49" max="49" width="16.25" bestFit="1" customWidth="1"/>
  </cols>
  <sheetData>
    <row r="1" spans="1:703" x14ac:dyDescent="0.25">
      <c r="A1" t="s">
        <v>353</v>
      </c>
      <c r="B1" t="s">
        <v>354</v>
      </c>
      <c r="C1" t="s">
        <v>355</v>
      </c>
      <c r="D1" t="s">
        <v>356</v>
      </c>
      <c r="E1" t="s">
        <v>357</v>
      </c>
      <c r="F1" t="s">
        <v>358</v>
      </c>
      <c r="G1" t="s">
        <v>359</v>
      </c>
      <c r="H1" t="s">
        <v>8</v>
      </c>
      <c r="I1" t="s">
        <v>6</v>
      </c>
      <c r="J1" t="s">
        <v>5</v>
      </c>
      <c r="K1" t="s">
        <v>360</v>
      </c>
      <c r="L1" t="s">
        <v>149</v>
      </c>
      <c r="M1" t="s">
        <v>169</v>
      </c>
      <c r="N1" t="s">
        <v>157</v>
      </c>
      <c r="O1" t="s">
        <v>262</v>
      </c>
      <c r="P1" t="s">
        <v>361</v>
      </c>
      <c r="Q1" t="s">
        <v>362</v>
      </c>
      <c r="R1" t="s">
        <v>363</v>
      </c>
      <c r="S1" t="s">
        <v>146</v>
      </c>
      <c r="T1" t="s">
        <v>364</v>
      </c>
      <c r="U1" t="s">
        <v>365</v>
      </c>
      <c r="V1" t="s">
        <v>366</v>
      </c>
      <c r="W1" t="s">
        <v>367</v>
      </c>
      <c r="X1" t="s">
        <v>15</v>
      </c>
      <c r="Y1" t="s">
        <v>150</v>
      </c>
      <c r="Z1" s="14" t="s">
        <v>368</v>
      </c>
      <c r="AA1" s="14" t="s">
        <v>369</v>
      </c>
      <c r="AB1" s="14" t="s">
        <v>370</v>
      </c>
      <c r="AC1" s="14" t="s">
        <v>371</v>
      </c>
      <c r="AD1" s="14" t="s">
        <v>372</v>
      </c>
      <c r="AE1" s="14" t="s">
        <v>22</v>
      </c>
      <c r="AF1" s="14" t="s">
        <v>338</v>
      </c>
      <c r="AG1" s="14" t="s">
        <v>373</v>
      </c>
      <c r="AH1" s="14" t="s">
        <v>374</v>
      </c>
      <c r="AI1" s="14" t="s">
        <v>320</v>
      </c>
      <c r="AJ1" s="14" t="s">
        <v>375</v>
      </c>
      <c r="AK1" s="14" t="s">
        <v>376</v>
      </c>
      <c r="AL1" s="14" t="s">
        <v>377</v>
      </c>
      <c r="AM1" s="14" t="s">
        <v>378</v>
      </c>
      <c r="AN1" s="14" t="s">
        <v>379</v>
      </c>
      <c r="AO1" t="s">
        <v>29</v>
      </c>
      <c r="AP1" t="s">
        <v>380</v>
      </c>
      <c r="AQ1" t="s">
        <v>43</v>
      </c>
      <c r="AR1" t="s">
        <v>381</v>
      </c>
      <c r="AS1" t="s">
        <v>506</v>
      </c>
      <c r="AT1" t="s">
        <v>382</v>
      </c>
      <c r="AU1" t="s">
        <v>383</v>
      </c>
      <c r="AV1" t="s">
        <v>384</v>
      </c>
      <c r="AW1" t="s">
        <v>92</v>
      </c>
      <c r="AX1" t="s">
        <v>385</v>
      </c>
      <c r="ZZ1" t="s">
        <v>142</v>
      </c>
      <c r="AAA1" t="s">
        <v>192</v>
      </c>
    </row>
    <row r="2" spans="1:703" x14ac:dyDescent="0.25">
      <c r="A2" t="s">
        <v>386</v>
      </c>
      <c r="B2" t="s">
        <v>387</v>
      </c>
      <c r="C2" t="s">
        <v>117</v>
      </c>
      <c r="D2" t="s">
        <v>388</v>
      </c>
      <c r="E2">
        <v>45854</v>
      </c>
      <c r="F2" t="s">
        <v>389</v>
      </c>
      <c r="G2" t="s">
        <v>390</v>
      </c>
      <c r="H2" t="s">
        <v>391</v>
      </c>
      <c r="J2" t="s">
        <v>391</v>
      </c>
      <c r="K2" t="s">
        <v>392</v>
      </c>
      <c r="L2" t="s">
        <v>393</v>
      </c>
      <c r="M2" t="s">
        <v>394</v>
      </c>
      <c r="N2" t="s">
        <v>395</v>
      </c>
      <c r="O2" t="s">
        <v>396</v>
      </c>
      <c r="P2" t="s">
        <v>396</v>
      </c>
      <c r="Q2" t="s">
        <v>117</v>
      </c>
      <c r="R2" t="s">
        <v>117</v>
      </c>
      <c r="S2" t="s">
        <v>397</v>
      </c>
      <c r="T2" t="s">
        <v>397</v>
      </c>
      <c r="U2" t="s">
        <v>397</v>
      </c>
      <c r="V2" t="s">
        <v>117</v>
      </c>
      <c r="W2" t="s">
        <v>117</v>
      </c>
      <c r="X2" t="s">
        <v>398</v>
      </c>
      <c r="Y2" t="s">
        <v>399</v>
      </c>
      <c r="AB2" s="14">
        <v>45868</v>
      </c>
      <c r="AE2" s="14">
        <v>45903</v>
      </c>
      <c r="AF2" s="14">
        <v>45903</v>
      </c>
      <c r="AG2" s="14">
        <v>45903</v>
      </c>
      <c r="AX2" t="s">
        <v>400</v>
      </c>
      <c r="ZZ2" t="str">
        <f t="shared" ref="ZZ2:ZZ24" si="0">J2&amp; "|" &amp;I2</f>
        <v>TBD|</v>
      </c>
    </row>
    <row r="3" spans="1:703" x14ac:dyDescent="0.25">
      <c r="A3" t="s">
        <v>401</v>
      </c>
      <c r="B3" t="s">
        <v>387</v>
      </c>
      <c r="C3" t="s">
        <v>117</v>
      </c>
      <c r="D3" t="s">
        <v>402</v>
      </c>
      <c r="E3">
        <v>45847</v>
      </c>
      <c r="F3" t="s">
        <v>389</v>
      </c>
      <c r="G3" t="s">
        <v>403</v>
      </c>
      <c r="H3" t="s">
        <v>391</v>
      </c>
      <c r="J3" t="s">
        <v>404</v>
      </c>
      <c r="K3" t="s">
        <v>392</v>
      </c>
      <c r="L3" t="s">
        <v>393</v>
      </c>
      <c r="M3" t="s">
        <v>394</v>
      </c>
      <c r="N3" t="s">
        <v>395</v>
      </c>
      <c r="O3" t="s">
        <v>396</v>
      </c>
      <c r="P3" t="s">
        <v>396</v>
      </c>
      <c r="Q3" t="s">
        <v>117</v>
      </c>
      <c r="R3" t="s">
        <v>117</v>
      </c>
      <c r="S3" t="s">
        <v>397</v>
      </c>
      <c r="T3" t="s">
        <v>397</v>
      </c>
      <c r="U3" t="s">
        <v>397</v>
      </c>
      <c r="V3" t="s">
        <v>117</v>
      </c>
      <c r="W3" t="s">
        <v>117</v>
      </c>
      <c r="X3" t="s">
        <v>398</v>
      </c>
      <c r="Y3" t="s">
        <v>399</v>
      </c>
      <c r="AB3" s="14">
        <v>45868</v>
      </c>
      <c r="AE3" s="14">
        <v>45903</v>
      </c>
      <c r="AF3" s="14">
        <v>45903</v>
      </c>
      <c r="AG3" s="14">
        <v>45903</v>
      </c>
      <c r="AH3" s="14">
        <v>45863</v>
      </c>
      <c r="AX3" t="s">
        <v>400</v>
      </c>
      <c r="ZZ3" t="str">
        <f t="shared" si="0"/>
        <v>TRHU7719443|</v>
      </c>
    </row>
    <row r="4" spans="1:703" x14ac:dyDescent="0.25">
      <c r="A4" t="s">
        <v>405</v>
      </c>
      <c r="B4" t="s">
        <v>387</v>
      </c>
      <c r="C4" t="s">
        <v>117</v>
      </c>
      <c r="D4" t="s">
        <v>406</v>
      </c>
      <c r="E4">
        <v>45850</v>
      </c>
      <c r="F4" t="s">
        <v>389</v>
      </c>
      <c r="G4" t="s">
        <v>407</v>
      </c>
      <c r="H4" t="s">
        <v>408</v>
      </c>
      <c r="I4" t="s">
        <v>408</v>
      </c>
      <c r="J4" t="s">
        <v>409</v>
      </c>
      <c r="K4" t="s">
        <v>392</v>
      </c>
      <c r="L4" t="s">
        <v>393</v>
      </c>
      <c r="M4" t="s">
        <v>394</v>
      </c>
      <c r="N4" t="s">
        <v>410</v>
      </c>
      <c r="O4" t="s">
        <v>411</v>
      </c>
      <c r="P4" t="s">
        <v>411</v>
      </c>
      <c r="Q4" t="s">
        <v>117</v>
      </c>
      <c r="R4" t="s">
        <v>117</v>
      </c>
      <c r="S4" t="s">
        <v>397</v>
      </c>
      <c r="T4" t="s">
        <v>397</v>
      </c>
      <c r="U4" t="s">
        <v>397</v>
      </c>
      <c r="V4" t="s">
        <v>117</v>
      </c>
      <c r="W4" t="s">
        <v>117</v>
      </c>
      <c r="X4" t="s">
        <v>193</v>
      </c>
      <c r="Y4" t="s">
        <v>412</v>
      </c>
      <c r="AB4" s="14">
        <v>45862</v>
      </c>
      <c r="AE4" s="14">
        <v>45896</v>
      </c>
      <c r="AF4" s="14">
        <v>45896</v>
      </c>
      <c r="AG4" s="14">
        <v>45896</v>
      </c>
      <c r="AH4" s="14">
        <v>45856</v>
      </c>
      <c r="AI4" s="14">
        <v>45862</v>
      </c>
      <c r="AN4" s="14">
        <v>45862</v>
      </c>
      <c r="AX4" t="s">
        <v>413</v>
      </c>
      <c r="ZZ4" t="str">
        <f t="shared" si="0"/>
        <v>TCLU9271871|ONEYAMDF09651500</v>
      </c>
    </row>
    <row r="5" spans="1:703" x14ac:dyDescent="0.25">
      <c r="A5" t="s">
        <v>414</v>
      </c>
      <c r="B5" t="s">
        <v>387</v>
      </c>
      <c r="C5" t="s">
        <v>117</v>
      </c>
      <c r="D5" t="s">
        <v>406</v>
      </c>
      <c r="E5">
        <v>45850</v>
      </c>
      <c r="F5" t="s">
        <v>389</v>
      </c>
      <c r="G5" t="s">
        <v>407</v>
      </c>
      <c r="H5" t="s">
        <v>408</v>
      </c>
      <c r="I5" t="s">
        <v>408</v>
      </c>
      <c r="J5" t="s">
        <v>415</v>
      </c>
      <c r="K5" t="s">
        <v>392</v>
      </c>
      <c r="L5" t="s">
        <v>393</v>
      </c>
      <c r="M5" t="s">
        <v>394</v>
      </c>
      <c r="N5" t="s">
        <v>410</v>
      </c>
      <c r="O5" t="s">
        <v>411</v>
      </c>
      <c r="P5" t="s">
        <v>411</v>
      </c>
      <c r="Q5" t="s">
        <v>117</v>
      </c>
      <c r="R5" t="s">
        <v>117</v>
      </c>
      <c r="S5" t="s">
        <v>397</v>
      </c>
      <c r="T5" t="s">
        <v>397</v>
      </c>
      <c r="U5" t="s">
        <v>397</v>
      </c>
      <c r="V5" t="s">
        <v>117</v>
      </c>
      <c r="W5" t="s">
        <v>117</v>
      </c>
      <c r="X5" t="s">
        <v>193</v>
      </c>
      <c r="Y5" t="s">
        <v>412</v>
      </c>
      <c r="AB5" s="14">
        <v>45862</v>
      </c>
      <c r="AE5" s="14">
        <v>45896</v>
      </c>
      <c r="AF5" s="14">
        <v>45896</v>
      </c>
      <c r="AG5" s="14">
        <v>45896</v>
      </c>
      <c r="AH5" s="14">
        <v>45856</v>
      </c>
      <c r="AI5" s="14">
        <v>45862</v>
      </c>
      <c r="AN5" s="14">
        <v>45862</v>
      </c>
      <c r="AX5" t="s">
        <v>413</v>
      </c>
      <c r="ZZ5" t="str">
        <f t="shared" si="0"/>
        <v>TCLU9461188|ONEYAMDF09651500</v>
      </c>
    </row>
    <row r="6" spans="1:703" x14ac:dyDescent="0.25">
      <c r="A6" t="s">
        <v>416</v>
      </c>
      <c r="B6" t="s">
        <v>387</v>
      </c>
      <c r="C6" t="s">
        <v>117</v>
      </c>
      <c r="D6" t="s">
        <v>417</v>
      </c>
      <c r="E6">
        <v>45850</v>
      </c>
      <c r="F6" t="s">
        <v>389</v>
      </c>
      <c r="G6" t="s">
        <v>418</v>
      </c>
      <c r="H6" t="s">
        <v>419</v>
      </c>
      <c r="I6" t="s">
        <v>419</v>
      </c>
      <c r="J6" t="s">
        <v>420</v>
      </c>
      <c r="K6" t="s">
        <v>392</v>
      </c>
      <c r="L6" t="s">
        <v>393</v>
      </c>
      <c r="M6" t="s">
        <v>394</v>
      </c>
      <c r="N6" t="s">
        <v>410</v>
      </c>
      <c r="O6" t="s">
        <v>411</v>
      </c>
      <c r="P6" t="s">
        <v>411</v>
      </c>
      <c r="Q6" t="s">
        <v>117</v>
      </c>
      <c r="R6" t="s">
        <v>117</v>
      </c>
      <c r="S6" t="s">
        <v>397</v>
      </c>
      <c r="T6" t="s">
        <v>397</v>
      </c>
      <c r="U6" t="s">
        <v>397</v>
      </c>
      <c r="V6" t="s">
        <v>117</v>
      </c>
      <c r="W6" t="s">
        <v>117</v>
      </c>
      <c r="X6" t="s">
        <v>193</v>
      </c>
      <c r="Y6" t="s">
        <v>412</v>
      </c>
      <c r="AB6" s="14">
        <v>45862</v>
      </c>
      <c r="AE6" s="14">
        <v>45896</v>
      </c>
      <c r="AF6" s="14">
        <v>45896</v>
      </c>
      <c r="AG6" s="14">
        <v>45896</v>
      </c>
      <c r="AH6" s="14">
        <v>45859</v>
      </c>
      <c r="AI6" s="14">
        <v>45862</v>
      </c>
      <c r="AN6" s="14">
        <v>45862</v>
      </c>
      <c r="AX6" t="s">
        <v>413</v>
      </c>
      <c r="ZZ6" t="str">
        <f t="shared" si="0"/>
        <v>ONEU1953786|ONEYAMDF09651501</v>
      </c>
    </row>
    <row r="7" spans="1:703" x14ac:dyDescent="0.25">
      <c r="A7" t="s">
        <v>421</v>
      </c>
      <c r="B7" t="s">
        <v>387</v>
      </c>
      <c r="C7" t="s">
        <v>117</v>
      </c>
      <c r="D7" t="s">
        <v>417</v>
      </c>
      <c r="E7">
        <v>45850</v>
      </c>
      <c r="F7" t="s">
        <v>389</v>
      </c>
      <c r="G7" t="s">
        <v>418</v>
      </c>
      <c r="H7" t="s">
        <v>419</v>
      </c>
      <c r="I7" t="s">
        <v>419</v>
      </c>
      <c r="J7" t="s">
        <v>422</v>
      </c>
      <c r="K7" t="s">
        <v>392</v>
      </c>
      <c r="L7" t="s">
        <v>393</v>
      </c>
      <c r="M7" t="s">
        <v>394</v>
      </c>
      <c r="N7" t="s">
        <v>410</v>
      </c>
      <c r="O7" t="s">
        <v>411</v>
      </c>
      <c r="P7" t="s">
        <v>411</v>
      </c>
      <c r="Q7" t="s">
        <v>117</v>
      </c>
      <c r="R7" t="s">
        <v>117</v>
      </c>
      <c r="S7" t="s">
        <v>397</v>
      </c>
      <c r="T7" t="s">
        <v>397</v>
      </c>
      <c r="U7" t="s">
        <v>397</v>
      </c>
      <c r="V7" t="s">
        <v>117</v>
      </c>
      <c r="W7" t="s">
        <v>117</v>
      </c>
      <c r="X7" t="s">
        <v>193</v>
      </c>
      <c r="Y7" t="s">
        <v>412</v>
      </c>
      <c r="AB7" s="14">
        <v>45862</v>
      </c>
      <c r="AE7" s="14">
        <v>45896</v>
      </c>
      <c r="AF7" s="14">
        <v>45896</v>
      </c>
      <c r="AG7" s="14">
        <v>45896</v>
      </c>
      <c r="AH7" s="14">
        <v>45859</v>
      </c>
      <c r="AI7" s="14">
        <v>45862</v>
      </c>
      <c r="AN7" s="14">
        <v>45862</v>
      </c>
      <c r="AX7" t="s">
        <v>413</v>
      </c>
      <c r="ZZ7" t="str">
        <f t="shared" si="0"/>
        <v>TCLU9886310|ONEYAMDF09651501</v>
      </c>
    </row>
    <row r="8" spans="1:703" x14ac:dyDescent="0.25">
      <c r="A8" t="s">
        <v>423</v>
      </c>
      <c r="B8" t="s">
        <v>387</v>
      </c>
      <c r="C8" t="s">
        <v>117</v>
      </c>
      <c r="D8" t="s">
        <v>424</v>
      </c>
      <c r="E8">
        <v>45846</v>
      </c>
      <c r="F8" t="s">
        <v>389</v>
      </c>
      <c r="G8" t="s">
        <v>425</v>
      </c>
      <c r="H8" t="s">
        <v>426</v>
      </c>
      <c r="I8" t="s">
        <v>426</v>
      </c>
      <c r="J8" t="s">
        <v>427</v>
      </c>
      <c r="K8" t="s">
        <v>392</v>
      </c>
      <c r="L8" t="s">
        <v>393</v>
      </c>
      <c r="M8" t="s">
        <v>394</v>
      </c>
      <c r="N8" t="s">
        <v>410</v>
      </c>
      <c r="O8" t="s">
        <v>411</v>
      </c>
      <c r="P8" t="s">
        <v>411</v>
      </c>
      <c r="Q8" t="s">
        <v>117</v>
      </c>
      <c r="R8" t="s">
        <v>117</v>
      </c>
      <c r="S8" t="s">
        <v>397</v>
      </c>
      <c r="T8" t="s">
        <v>397</v>
      </c>
      <c r="U8" t="s">
        <v>397</v>
      </c>
      <c r="V8" t="s">
        <v>117</v>
      </c>
      <c r="W8" t="s">
        <v>117</v>
      </c>
      <c r="X8" t="s">
        <v>193</v>
      </c>
      <c r="Y8" t="s">
        <v>412</v>
      </c>
      <c r="AB8" s="14">
        <v>45862</v>
      </c>
      <c r="AE8" s="14">
        <v>45896</v>
      </c>
      <c r="AF8" s="14">
        <v>45896</v>
      </c>
      <c r="AG8" s="14">
        <v>45896</v>
      </c>
      <c r="AH8" s="14">
        <v>45859</v>
      </c>
      <c r="AI8" s="14">
        <v>45862</v>
      </c>
      <c r="AN8" s="14">
        <v>45862</v>
      </c>
      <c r="AX8" t="s">
        <v>413</v>
      </c>
      <c r="ZZ8" t="str">
        <f t="shared" si="0"/>
        <v>ONEU6328077|ONEYAMDF09639400</v>
      </c>
    </row>
    <row r="9" spans="1:703" x14ac:dyDescent="0.25">
      <c r="A9" t="s">
        <v>428</v>
      </c>
      <c r="B9" t="s">
        <v>387</v>
      </c>
      <c r="C9" t="s">
        <v>117</v>
      </c>
      <c r="D9" t="s">
        <v>424</v>
      </c>
      <c r="E9">
        <v>45847</v>
      </c>
      <c r="F9" t="s">
        <v>389</v>
      </c>
      <c r="G9" t="s">
        <v>425</v>
      </c>
      <c r="H9" t="s">
        <v>426</v>
      </c>
      <c r="I9" t="s">
        <v>426</v>
      </c>
      <c r="J9" t="s">
        <v>429</v>
      </c>
      <c r="K9" t="s">
        <v>392</v>
      </c>
      <c r="L9" t="s">
        <v>393</v>
      </c>
      <c r="M9" t="s">
        <v>394</v>
      </c>
      <c r="N9" t="s">
        <v>410</v>
      </c>
      <c r="O9" t="s">
        <v>411</v>
      </c>
      <c r="P9" t="s">
        <v>411</v>
      </c>
      <c r="Q9" t="s">
        <v>117</v>
      </c>
      <c r="R9" t="s">
        <v>117</v>
      </c>
      <c r="S9" t="s">
        <v>397</v>
      </c>
      <c r="T9" t="s">
        <v>397</v>
      </c>
      <c r="U9" t="s">
        <v>397</v>
      </c>
      <c r="V9" t="s">
        <v>117</v>
      </c>
      <c r="W9" t="s">
        <v>117</v>
      </c>
      <c r="X9" t="s">
        <v>193</v>
      </c>
      <c r="Y9" t="s">
        <v>412</v>
      </c>
      <c r="AB9" s="14">
        <v>45862</v>
      </c>
      <c r="AE9" s="14">
        <v>45896</v>
      </c>
      <c r="AF9" s="14">
        <v>45896</v>
      </c>
      <c r="AG9" s="14">
        <v>45896</v>
      </c>
      <c r="AH9" s="14">
        <v>45859</v>
      </c>
      <c r="AI9" s="14">
        <v>45862</v>
      </c>
      <c r="AN9" s="14">
        <v>45862</v>
      </c>
      <c r="AX9" t="s">
        <v>413</v>
      </c>
      <c r="ZZ9" t="str">
        <f t="shared" si="0"/>
        <v>TCLU9892966|ONEYAMDF09639400</v>
      </c>
    </row>
    <row r="10" spans="1:703" x14ac:dyDescent="0.25">
      <c r="A10" t="s">
        <v>430</v>
      </c>
      <c r="B10" t="s">
        <v>387</v>
      </c>
      <c r="C10" t="s">
        <v>117</v>
      </c>
      <c r="D10" t="s">
        <v>431</v>
      </c>
      <c r="E10">
        <v>45842</v>
      </c>
      <c r="F10" t="s">
        <v>389</v>
      </c>
      <c r="G10" t="s">
        <v>432</v>
      </c>
      <c r="H10" t="s">
        <v>433</v>
      </c>
      <c r="I10" t="s">
        <v>433</v>
      </c>
      <c r="J10" t="s">
        <v>434</v>
      </c>
      <c r="K10" t="s">
        <v>392</v>
      </c>
      <c r="L10" t="s">
        <v>393</v>
      </c>
      <c r="M10" t="s">
        <v>394</v>
      </c>
      <c r="N10" t="s">
        <v>435</v>
      </c>
      <c r="O10" t="s">
        <v>396</v>
      </c>
      <c r="P10" t="s">
        <v>396</v>
      </c>
      <c r="Q10" t="s">
        <v>117</v>
      </c>
      <c r="R10" t="s">
        <v>117</v>
      </c>
      <c r="S10" t="s">
        <v>436</v>
      </c>
      <c r="T10" t="s">
        <v>437</v>
      </c>
      <c r="U10" t="s">
        <v>437</v>
      </c>
      <c r="V10" t="s">
        <v>117</v>
      </c>
      <c r="W10" t="s">
        <v>117</v>
      </c>
      <c r="X10" t="s">
        <v>346</v>
      </c>
      <c r="Y10" t="s">
        <v>438</v>
      </c>
      <c r="AB10" s="14">
        <v>45867</v>
      </c>
      <c r="AE10" s="14">
        <v>45907</v>
      </c>
      <c r="AF10" s="14">
        <v>45913</v>
      </c>
      <c r="AG10" s="14">
        <v>45913</v>
      </c>
      <c r="AH10" s="14">
        <v>45861</v>
      </c>
      <c r="AI10" s="14">
        <v>45866</v>
      </c>
      <c r="AX10" t="s">
        <v>413</v>
      </c>
      <c r="ZZ10" t="str">
        <f t="shared" si="0"/>
        <v>FDCU0380195|ONEYMUMF66649600</v>
      </c>
    </row>
    <row r="11" spans="1:703" x14ac:dyDescent="0.25">
      <c r="A11" t="s">
        <v>439</v>
      </c>
      <c r="B11" t="s">
        <v>387</v>
      </c>
      <c r="C11" t="s">
        <v>117</v>
      </c>
      <c r="D11" t="s">
        <v>440</v>
      </c>
      <c r="E11">
        <v>45836</v>
      </c>
      <c r="F11" t="s">
        <v>389</v>
      </c>
      <c r="G11" t="s">
        <v>441</v>
      </c>
      <c r="H11" t="s">
        <v>442</v>
      </c>
      <c r="I11" t="s">
        <v>442</v>
      </c>
      <c r="J11" t="s">
        <v>443</v>
      </c>
      <c r="K11" t="s">
        <v>392</v>
      </c>
      <c r="L11" t="s">
        <v>393</v>
      </c>
      <c r="M11" t="s">
        <v>394</v>
      </c>
      <c r="N11" t="s">
        <v>435</v>
      </c>
      <c r="O11" t="s">
        <v>444</v>
      </c>
      <c r="P11" t="s">
        <v>444</v>
      </c>
      <c r="Q11" t="s">
        <v>117</v>
      </c>
      <c r="R11" t="s">
        <v>117</v>
      </c>
      <c r="S11" t="s">
        <v>397</v>
      </c>
      <c r="T11" t="s">
        <v>397</v>
      </c>
      <c r="U11" t="s">
        <v>397</v>
      </c>
      <c r="V11" t="s">
        <v>117</v>
      </c>
      <c r="W11" t="s">
        <v>117</v>
      </c>
      <c r="X11" t="s">
        <v>345</v>
      </c>
      <c r="Y11" t="s">
        <v>445</v>
      </c>
      <c r="AB11" s="14">
        <v>45849</v>
      </c>
      <c r="AE11" s="14">
        <v>45883</v>
      </c>
      <c r="AF11" s="14">
        <v>45883</v>
      </c>
      <c r="AG11" s="14">
        <v>45883</v>
      </c>
      <c r="AH11" s="14">
        <v>45844</v>
      </c>
      <c r="AI11" s="14">
        <v>45849</v>
      </c>
      <c r="AN11" s="14">
        <v>45849</v>
      </c>
      <c r="AX11" t="s">
        <v>413</v>
      </c>
      <c r="ZZ11" t="str">
        <f t="shared" si="0"/>
        <v>SEGU4075434|ONEYAMDF08945300</v>
      </c>
    </row>
    <row r="12" spans="1:703" x14ac:dyDescent="0.25">
      <c r="A12" t="s">
        <v>446</v>
      </c>
      <c r="B12" t="s">
        <v>387</v>
      </c>
      <c r="C12" t="s">
        <v>117</v>
      </c>
      <c r="D12" t="s">
        <v>440</v>
      </c>
      <c r="E12">
        <v>45835</v>
      </c>
      <c r="F12" t="s">
        <v>389</v>
      </c>
      <c r="G12" t="s">
        <v>441</v>
      </c>
      <c r="H12" t="s">
        <v>442</v>
      </c>
      <c r="I12" t="s">
        <v>442</v>
      </c>
      <c r="J12" t="s">
        <v>447</v>
      </c>
      <c r="K12" t="s">
        <v>392</v>
      </c>
      <c r="L12" t="s">
        <v>393</v>
      </c>
      <c r="M12" t="s">
        <v>394</v>
      </c>
      <c r="N12" t="s">
        <v>435</v>
      </c>
      <c r="O12" t="s">
        <v>444</v>
      </c>
      <c r="P12" t="s">
        <v>444</v>
      </c>
      <c r="Q12" t="s">
        <v>117</v>
      </c>
      <c r="R12" t="s">
        <v>117</v>
      </c>
      <c r="S12" t="s">
        <v>397</v>
      </c>
      <c r="T12" t="s">
        <v>397</v>
      </c>
      <c r="U12" t="s">
        <v>397</v>
      </c>
      <c r="V12" t="s">
        <v>117</v>
      </c>
      <c r="W12" t="s">
        <v>117</v>
      </c>
      <c r="X12" t="s">
        <v>345</v>
      </c>
      <c r="Y12" t="s">
        <v>445</v>
      </c>
      <c r="AB12" s="14">
        <v>45849</v>
      </c>
      <c r="AE12" s="14">
        <v>45883</v>
      </c>
      <c r="AF12" s="14">
        <v>45883</v>
      </c>
      <c r="AG12" s="14">
        <v>45883</v>
      </c>
      <c r="AH12" s="14">
        <v>45844</v>
      </c>
      <c r="AI12" s="14">
        <v>45849</v>
      </c>
      <c r="AN12" s="14">
        <v>45849</v>
      </c>
      <c r="AX12" t="s">
        <v>413</v>
      </c>
      <c r="ZZ12" t="str">
        <f t="shared" si="0"/>
        <v>TCLU8566179|ONEYAMDF08945300</v>
      </c>
    </row>
    <row r="13" spans="1:703" x14ac:dyDescent="0.25">
      <c r="A13" t="s">
        <v>448</v>
      </c>
      <c r="B13" t="s">
        <v>387</v>
      </c>
      <c r="C13" t="s">
        <v>117</v>
      </c>
      <c r="D13" t="s">
        <v>440</v>
      </c>
      <c r="E13">
        <v>45835</v>
      </c>
      <c r="F13" t="s">
        <v>389</v>
      </c>
      <c r="G13" t="s">
        <v>441</v>
      </c>
      <c r="H13" t="s">
        <v>442</v>
      </c>
      <c r="I13" t="s">
        <v>442</v>
      </c>
      <c r="J13" t="s">
        <v>449</v>
      </c>
      <c r="K13" t="s">
        <v>392</v>
      </c>
      <c r="L13" t="s">
        <v>393</v>
      </c>
      <c r="M13" t="s">
        <v>394</v>
      </c>
      <c r="N13" t="s">
        <v>435</v>
      </c>
      <c r="O13" t="s">
        <v>444</v>
      </c>
      <c r="P13" t="s">
        <v>444</v>
      </c>
      <c r="Q13" t="s">
        <v>117</v>
      </c>
      <c r="R13" t="s">
        <v>117</v>
      </c>
      <c r="S13" t="s">
        <v>397</v>
      </c>
      <c r="T13" t="s">
        <v>397</v>
      </c>
      <c r="U13" t="s">
        <v>397</v>
      </c>
      <c r="V13" t="s">
        <v>117</v>
      </c>
      <c r="W13" t="s">
        <v>117</v>
      </c>
      <c r="X13" t="s">
        <v>345</v>
      </c>
      <c r="Y13" t="s">
        <v>445</v>
      </c>
      <c r="AB13" s="14">
        <v>45849</v>
      </c>
      <c r="AE13" s="14">
        <v>45883</v>
      </c>
      <c r="AF13" s="14">
        <v>45883</v>
      </c>
      <c r="AG13" s="14">
        <v>45883</v>
      </c>
      <c r="AH13" s="14">
        <v>45844</v>
      </c>
      <c r="AI13" s="14">
        <v>45849</v>
      </c>
      <c r="AN13" s="14">
        <v>45849</v>
      </c>
      <c r="AX13" t="s">
        <v>413</v>
      </c>
      <c r="ZZ13" t="str">
        <f t="shared" si="0"/>
        <v>TGBU4409646|ONEYAMDF08945300</v>
      </c>
    </row>
    <row r="14" spans="1:703" x14ac:dyDescent="0.25">
      <c r="A14" t="s">
        <v>450</v>
      </c>
      <c r="B14" t="s">
        <v>387</v>
      </c>
      <c r="C14" t="s">
        <v>117</v>
      </c>
      <c r="D14" t="s">
        <v>440</v>
      </c>
      <c r="E14">
        <v>45835</v>
      </c>
      <c r="F14" t="s">
        <v>389</v>
      </c>
      <c r="G14" t="s">
        <v>441</v>
      </c>
      <c r="H14" t="s">
        <v>442</v>
      </c>
      <c r="I14" t="s">
        <v>442</v>
      </c>
      <c r="J14" t="s">
        <v>451</v>
      </c>
      <c r="K14" t="s">
        <v>392</v>
      </c>
      <c r="L14" t="s">
        <v>393</v>
      </c>
      <c r="M14" t="s">
        <v>394</v>
      </c>
      <c r="N14" t="s">
        <v>435</v>
      </c>
      <c r="O14" t="s">
        <v>444</v>
      </c>
      <c r="P14" t="s">
        <v>444</v>
      </c>
      <c r="Q14" t="s">
        <v>117</v>
      </c>
      <c r="R14" t="s">
        <v>117</v>
      </c>
      <c r="S14" t="s">
        <v>397</v>
      </c>
      <c r="T14" t="s">
        <v>397</v>
      </c>
      <c r="U14" t="s">
        <v>397</v>
      </c>
      <c r="V14" t="s">
        <v>117</v>
      </c>
      <c r="W14" t="s">
        <v>117</v>
      </c>
      <c r="X14" t="s">
        <v>345</v>
      </c>
      <c r="Y14" t="s">
        <v>445</v>
      </c>
      <c r="AB14" s="14">
        <v>45849</v>
      </c>
      <c r="AE14" s="14">
        <v>45883</v>
      </c>
      <c r="AF14" s="14">
        <v>45883</v>
      </c>
      <c r="AG14" s="14">
        <v>45883</v>
      </c>
      <c r="AH14" s="14">
        <v>45844</v>
      </c>
      <c r="AI14" s="14">
        <v>45849</v>
      </c>
      <c r="AN14" s="14">
        <v>45849</v>
      </c>
      <c r="AX14" t="s">
        <v>413</v>
      </c>
      <c r="ZZ14" t="str">
        <f t="shared" si="0"/>
        <v>SEGU4053780|ONEYAMDF08945300</v>
      </c>
    </row>
    <row r="15" spans="1:703" x14ac:dyDescent="0.25">
      <c r="A15" t="s">
        <v>452</v>
      </c>
      <c r="B15" t="s">
        <v>387</v>
      </c>
      <c r="C15" t="s">
        <v>117</v>
      </c>
      <c r="D15" t="s">
        <v>440</v>
      </c>
      <c r="E15">
        <v>45836</v>
      </c>
      <c r="F15" t="s">
        <v>389</v>
      </c>
      <c r="G15" t="s">
        <v>441</v>
      </c>
      <c r="H15" t="s">
        <v>442</v>
      </c>
      <c r="I15" t="s">
        <v>442</v>
      </c>
      <c r="J15" t="s">
        <v>453</v>
      </c>
      <c r="K15" t="s">
        <v>392</v>
      </c>
      <c r="L15" t="s">
        <v>393</v>
      </c>
      <c r="M15" t="s">
        <v>394</v>
      </c>
      <c r="N15" t="s">
        <v>435</v>
      </c>
      <c r="O15" t="s">
        <v>444</v>
      </c>
      <c r="P15" t="s">
        <v>444</v>
      </c>
      <c r="Q15" t="s">
        <v>117</v>
      </c>
      <c r="R15" t="s">
        <v>117</v>
      </c>
      <c r="S15" t="s">
        <v>397</v>
      </c>
      <c r="T15" t="s">
        <v>397</v>
      </c>
      <c r="U15" t="s">
        <v>397</v>
      </c>
      <c r="V15" t="s">
        <v>117</v>
      </c>
      <c r="W15" t="s">
        <v>117</v>
      </c>
      <c r="X15" t="s">
        <v>345</v>
      </c>
      <c r="Y15" t="s">
        <v>445</v>
      </c>
      <c r="AB15" s="14">
        <v>45849</v>
      </c>
      <c r="AE15" s="14">
        <v>45883</v>
      </c>
      <c r="AF15" s="14">
        <v>45883</v>
      </c>
      <c r="AG15" s="14">
        <v>45883</v>
      </c>
      <c r="AH15" s="14">
        <v>45844</v>
      </c>
      <c r="AI15" s="14">
        <v>45849</v>
      </c>
      <c r="AN15" s="14">
        <v>45849</v>
      </c>
      <c r="AX15" t="s">
        <v>413</v>
      </c>
      <c r="ZZ15" t="str">
        <f t="shared" si="0"/>
        <v>NYKU5152258|ONEYAMDF08945300</v>
      </c>
    </row>
    <row r="16" spans="1:703" x14ac:dyDescent="0.25">
      <c r="A16" t="s">
        <v>454</v>
      </c>
      <c r="B16" t="s">
        <v>387</v>
      </c>
      <c r="C16" t="s">
        <v>455</v>
      </c>
      <c r="D16" t="s">
        <v>456</v>
      </c>
      <c r="E16">
        <v>45847</v>
      </c>
      <c r="F16" t="s">
        <v>457</v>
      </c>
      <c r="G16" t="s">
        <v>458</v>
      </c>
      <c r="H16" t="s">
        <v>459</v>
      </c>
      <c r="I16" t="s">
        <v>459</v>
      </c>
      <c r="J16" t="s">
        <v>460</v>
      </c>
      <c r="K16" t="s">
        <v>392</v>
      </c>
      <c r="L16" t="s">
        <v>393</v>
      </c>
      <c r="M16" t="s">
        <v>461</v>
      </c>
      <c r="N16" t="s">
        <v>462</v>
      </c>
      <c r="O16" t="s">
        <v>463</v>
      </c>
      <c r="P16" t="s">
        <v>463</v>
      </c>
      <c r="Q16" t="s">
        <v>117</v>
      </c>
      <c r="R16" t="s">
        <v>117</v>
      </c>
      <c r="S16" t="s">
        <v>464</v>
      </c>
      <c r="T16" t="s">
        <v>465</v>
      </c>
      <c r="U16" t="s">
        <v>465</v>
      </c>
      <c r="V16" t="s">
        <v>117</v>
      </c>
      <c r="W16" t="s">
        <v>117</v>
      </c>
      <c r="X16" t="s">
        <v>466</v>
      </c>
      <c r="Y16" t="s">
        <v>467</v>
      </c>
      <c r="AB16" s="14">
        <v>45859</v>
      </c>
      <c r="AE16" s="14">
        <v>45889</v>
      </c>
      <c r="AF16" s="14">
        <v>45900</v>
      </c>
      <c r="AG16" s="14">
        <v>45907</v>
      </c>
      <c r="AH16" s="14">
        <v>45855</v>
      </c>
      <c r="AI16" s="14">
        <v>45858</v>
      </c>
      <c r="AN16" s="14">
        <v>45859</v>
      </c>
      <c r="AX16" t="s">
        <v>468</v>
      </c>
      <c r="ZZ16" t="str">
        <f t="shared" si="0"/>
        <v>TEMU7493584|ONEYBKKFQ0726500</v>
      </c>
    </row>
    <row r="17" spans="1:702" x14ac:dyDescent="0.25">
      <c r="A17" t="s">
        <v>469</v>
      </c>
      <c r="B17" t="s">
        <v>387</v>
      </c>
      <c r="C17" t="s">
        <v>470</v>
      </c>
      <c r="D17" t="s">
        <v>471</v>
      </c>
      <c r="E17">
        <v>45812</v>
      </c>
      <c r="F17" t="s">
        <v>389</v>
      </c>
      <c r="G17" t="s">
        <v>472</v>
      </c>
      <c r="H17" t="s">
        <v>473</v>
      </c>
      <c r="I17" t="s">
        <v>473</v>
      </c>
      <c r="J17" t="s">
        <v>474</v>
      </c>
      <c r="K17" t="s">
        <v>392</v>
      </c>
      <c r="L17" t="s">
        <v>475</v>
      </c>
      <c r="M17" t="s">
        <v>461</v>
      </c>
      <c r="N17" t="s">
        <v>476</v>
      </c>
      <c r="O17" t="s">
        <v>477</v>
      </c>
      <c r="P17" t="s">
        <v>477</v>
      </c>
      <c r="Q17" t="s">
        <v>478</v>
      </c>
      <c r="R17" t="s">
        <v>117</v>
      </c>
      <c r="S17" t="s">
        <v>479</v>
      </c>
      <c r="T17" t="s">
        <v>479</v>
      </c>
      <c r="U17" t="s">
        <v>479</v>
      </c>
      <c r="V17" t="s">
        <v>480</v>
      </c>
      <c r="W17" t="s">
        <v>117</v>
      </c>
      <c r="X17" t="s">
        <v>481</v>
      </c>
      <c r="Y17" t="s">
        <v>482</v>
      </c>
      <c r="Z17" s="14">
        <v>45825</v>
      </c>
      <c r="AB17" s="14">
        <v>45837</v>
      </c>
      <c r="AC17" s="14">
        <v>45830</v>
      </c>
      <c r="AE17" s="14">
        <v>45876</v>
      </c>
      <c r="AF17" s="14">
        <v>45876</v>
      </c>
      <c r="AG17" s="14">
        <v>45876</v>
      </c>
      <c r="AH17" s="14">
        <v>45820</v>
      </c>
      <c r="AI17" s="14">
        <v>45825</v>
      </c>
      <c r="AJ17" s="14">
        <v>45825</v>
      </c>
      <c r="AK17" s="14">
        <v>45832</v>
      </c>
      <c r="AN17" s="14">
        <v>45837</v>
      </c>
      <c r="AX17" t="s">
        <v>468</v>
      </c>
      <c r="ZZ17" t="str">
        <f t="shared" si="0"/>
        <v>WHSU5224782|WHLC100FX09847</v>
      </c>
    </row>
    <row r="18" spans="1:702" x14ac:dyDescent="0.25">
      <c r="A18" t="s">
        <v>483</v>
      </c>
      <c r="B18" t="s">
        <v>387</v>
      </c>
      <c r="C18" t="s">
        <v>470</v>
      </c>
      <c r="D18" t="s">
        <v>471</v>
      </c>
      <c r="E18">
        <v>45812</v>
      </c>
      <c r="F18" t="s">
        <v>389</v>
      </c>
      <c r="G18" t="s">
        <v>472</v>
      </c>
      <c r="H18" t="s">
        <v>473</v>
      </c>
      <c r="I18" t="s">
        <v>473</v>
      </c>
      <c r="J18" t="s">
        <v>484</v>
      </c>
      <c r="K18" t="s">
        <v>392</v>
      </c>
      <c r="L18" t="s">
        <v>475</v>
      </c>
      <c r="M18" t="s">
        <v>461</v>
      </c>
      <c r="N18" t="s">
        <v>476</v>
      </c>
      <c r="O18" t="s">
        <v>477</v>
      </c>
      <c r="P18" t="s">
        <v>477</v>
      </c>
      <c r="Q18" t="s">
        <v>478</v>
      </c>
      <c r="R18" t="s">
        <v>117</v>
      </c>
      <c r="S18" t="s">
        <v>479</v>
      </c>
      <c r="T18" t="s">
        <v>479</v>
      </c>
      <c r="U18" t="s">
        <v>479</v>
      </c>
      <c r="V18" t="s">
        <v>480</v>
      </c>
      <c r="W18" t="s">
        <v>117</v>
      </c>
      <c r="X18" t="s">
        <v>481</v>
      </c>
      <c r="Y18" t="s">
        <v>482</v>
      </c>
      <c r="Z18" s="14">
        <v>45825</v>
      </c>
      <c r="AB18" s="14">
        <v>45837</v>
      </c>
      <c r="AC18" s="14">
        <v>45830</v>
      </c>
      <c r="AE18" s="14">
        <v>45876</v>
      </c>
      <c r="AF18" s="14">
        <v>45876</v>
      </c>
      <c r="AG18" s="14">
        <v>45876</v>
      </c>
      <c r="AH18" s="14">
        <v>45819</v>
      </c>
      <c r="AI18" s="14">
        <v>45825</v>
      </c>
      <c r="AJ18" s="14">
        <v>45825</v>
      </c>
      <c r="AK18" s="14">
        <v>45832</v>
      </c>
      <c r="AN18" s="14">
        <v>45837</v>
      </c>
      <c r="AX18" t="s">
        <v>468</v>
      </c>
      <c r="ZZ18" t="str">
        <f t="shared" si="0"/>
        <v>WHSU5534725|WHLC100FX09847</v>
      </c>
    </row>
    <row r="19" spans="1:702" x14ac:dyDescent="0.25">
      <c r="A19" t="s">
        <v>485</v>
      </c>
      <c r="B19" t="s">
        <v>387</v>
      </c>
      <c r="C19" t="s">
        <v>486</v>
      </c>
      <c r="D19" t="s">
        <v>487</v>
      </c>
      <c r="E19">
        <v>45812</v>
      </c>
      <c r="F19" t="s">
        <v>389</v>
      </c>
      <c r="G19" t="s">
        <v>472</v>
      </c>
      <c r="H19" t="s">
        <v>488</v>
      </c>
      <c r="I19" t="s">
        <v>488</v>
      </c>
      <c r="J19" t="s">
        <v>489</v>
      </c>
      <c r="K19" t="s">
        <v>392</v>
      </c>
      <c r="L19" t="s">
        <v>475</v>
      </c>
      <c r="M19" t="s">
        <v>461</v>
      </c>
      <c r="N19" t="s">
        <v>476</v>
      </c>
      <c r="O19" t="s">
        <v>477</v>
      </c>
      <c r="P19" t="s">
        <v>477</v>
      </c>
      <c r="Q19" t="s">
        <v>478</v>
      </c>
      <c r="R19" t="s">
        <v>117</v>
      </c>
      <c r="S19" t="s">
        <v>479</v>
      </c>
      <c r="T19" t="s">
        <v>479</v>
      </c>
      <c r="U19" t="s">
        <v>479</v>
      </c>
      <c r="V19" t="s">
        <v>490</v>
      </c>
      <c r="W19" t="s">
        <v>117</v>
      </c>
      <c r="X19" t="s">
        <v>491</v>
      </c>
      <c r="Y19" t="s">
        <v>492</v>
      </c>
      <c r="Z19" s="14">
        <v>45819</v>
      </c>
      <c r="AB19" s="14">
        <v>45831</v>
      </c>
      <c r="AC19" s="14">
        <v>45821</v>
      </c>
      <c r="AE19" s="14">
        <v>45870</v>
      </c>
      <c r="AF19" s="14">
        <v>45870</v>
      </c>
      <c r="AG19" s="14">
        <v>45870</v>
      </c>
      <c r="AH19" s="14">
        <v>45815</v>
      </c>
      <c r="AI19" s="14">
        <v>45819</v>
      </c>
      <c r="AJ19" s="14">
        <v>45819</v>
      </c>
      <c r="AK19" s="14">
        <v>45824</v>
      </c>
      <c r="AN19" s="14">
        <v>45831</v>
      </c>
      <c r="AX19" t="s">
        <v>468</v>
      </c>
      <c r="ZZ19" t="str">
        <f t="shared" si="0"/>
        <v>WHSU6069546|WHLC100FX09848</v>
      </c>
    </row>
    <row r="20" spans="1:702" x14ac:dyDescent="0.25">
      <c r="A20" t="s">
        <v>493</v>
      </c>
      <c r="B20" t="s">
        <v>387</v>
      </c>
      <c r="C20" t="s">
        <v>486</v>
      </c>
      <c r="D20" t="s">
        <v>487</v>
      </c>
      <c r="E20">
        <v>45812</v>
      </c>
      <c r="F20" t="s">
        <v>389</v>
      </c>
      <c r="G20" t="s">
        <v>472</v>
      </c>
      <c r="H20" t="s">
        <v>488</v>
      </c>
      <c r="I20" t="s">
        <v>488</v>
      </c>
      <c r="J20" t="s">
        <v>494</v>
      </c>
      <c r="K20" t="s">
        <v>392</v>
      </c>
      <c r="L20" t="s">
        <v>475</v>
      </c>
      <c r="M20" t="s">
        <v>461</v>
      </c>
      <c r="N20" t="s">
        <v>476</v>
      </c>
      <c r="O20" t="s">
        <v>477</v>
      </c>
      <c r="P20" t="s">
        <v>477</v>
      </c>
      <c r="Q20" t="s">
        <v>478</v>
      </c>
      <c r="R20" t="s">
        <v>117</v>
      </c>
      <c r="S20" t="s">
        <v>479</v>
      </c>
      <c r="T20" t="s">
        <v>479</v>
      </c>
      <c r="U20" t="s">
        <v>479</v>
      </c>
      <c r="V20" t="s">
        <v>490</v>
      </c>
      <c r="W20" t="s">
        <v>117</v>
      </c>
      <c r="X20" t="s">
        <v>491</v>
      </c>
      <c r="Y20" t="s">
        <v>492</v>
      </c>
      <c r="Z20" s="14">
        <v>45821</v>
      </c>
      <c r="AB20" s="14">
        <v>45831</v>
      </c>
      <c r="AC20" s="14">
        <v>45822</v>
      </c>
      <c r="AE20" s="14">
        <v>45870</v>
      </c>
      <c r="AF20" s="14">
        <v>45870</v>
      </c>
      <c r="AG20" s="14">
        <v>45870</v>
      </c>
      <c r="AH20" s="14">
        <v>45816</v>
      </c>
      <c r="AI20" s="14">
        <v>45819</v>
      </c>
      <c r="AJ20" s="14">
        <v>45819</v>
      </c>
      <c r="AK20" s="14">
        <v>45824</v>
      </c>
      <c r="AN20" s="14">
        <v>45830</v>
      </c>
      <c r="AX20" t="s">
        <v>468</v>
      </c>
      <c r="ZZ20" t="str">
        <f t="shared" si="0"/>
        <v>WHSU6319326|WHLC100FX09848</v>
      </c>
    </row>
    <row r="21" spans="1:702" x14ac:dyDescent="0.25">
      <c r="A21" t="s">
        <v>495</v>
      </c>
      <c r="B21" t="s">
        <v>387</v>
      </c>
      <c r="C21" t="s">
        <v>486</v>
      </c>
      <c r="D21" t="s">
        <v>487</v>
      </c>
      <c r="E21">
        <v>45812</v>
      </c>
      <c r="F21" t="s">
        <v>389</v>
      </c>
      <c r="G21" t="s">
        <v>472</v>
      </c>
      <c r="H21" t="s">
        <v>496</v>
      </c>
      <c r="I21" t="s">
        <v>496</v>
      </c>
      <c r="J21" t="s">
        <v>497</v>
      </c>
      <c r="K21" t="s">
        <v>392</v>
      </c>
      <c r="L21" t="s">
        <v>475</v>
      </c>
      <c r="M21" t="s">
        <v>461</v>
      </c>
      <c r="N21" t="s">
        <v>476</v>
      </c>
      <c r="O21" t="s">
        <v>477</v>
      </c>
      <c r="P21" t="s">
        <v>477</v>
      </c>
      <c r="Q21" t="s">
        <v>478</v>
      </c>
      <c r="R21" t="s">
        <v>117</v>
      </c>
      <c r="S21" t="s">
        <v>479</v>
      </c>
      <c r="T21" t="s">
        <v>479</v>
      </c>
      <c r="U21" t="s">
        <v>479</v>
      </c>
      <c r="V21" t="s">
        <v>490</v>
      </c>
      <c r="W21" t="s">
        <v>117</v>
      </c>
      <c r="X21" t="s">
        <v>491</v>
      </c>
      <c r="Y21" t="s">
        <v>492</v>
      </c>
      <c r="Z21" s="14">
        <v>45819</v>
      </c>
      <c r="AB21" s="14">
        <v>45831</v>
      </c>
      <c r="AC21" s="14">
        <v>45821</v>
      </c>
      <c r="AE21" s="14">
        <v>45870</v>
      </c>
      <c r="AF21" s="14">
        <v>45870</v>
      </c>
      <c r="AG21" s="14">
        <v>45870</v>
      </c>
      <c r="AH21" s="14">
        <v>45818</v>
      </c>
      <c r="AI21" s="14">
        <v>45819</v>
      </c>
      <c r="AJ21" s="14">
        <v>45819</v>
      </c>
      <c r="AK21" s="14">
        <v>45824</v>
      </c>
      <c r="AN21" s="14">
        <v>45830</v>
      </c>
      <c r="AX21" t="s">
        <v>468</v>
      </c>
      <c r="ZZ21" t="str">
        <f t="shared" si="0"/>
        <v>CAAU7998749|WHLC100FA00668</v>
      </c>
    </row>
    <row r="22" spans="1:702" x14ac:dyDescent="0.25">
      <c r="A22" t="s">
        <v>498</v>
      </c>
      <c r="B22" t="s">
        <v>387</v>
      </c>
      <c r="C22" t="s">
        <v>486</v>
      </c>
      <c r="D22" t="s">
        <v>487</v>
      </c>
      <c r="E22">
        <v>45812</v>
      </c>
      <c r="F22" t="s">
        <v>389</v>
      </c>
      <c r="G22" t="s">
        <v>472</v>
      </c>
      <c r="H22" t="s">
        <v>496</v>
      </c>
      <c r="I22" t="s">
        <v>496</v>
      </c>
      <c r="J22" t="s">
        <v>499</v>
      </c>
      <c r="K22" t="s">
        <v>392</v>
      </c>
      <c r="L22" t="s">
        <v>475</v>
      </c>
      <c r="M22" t="s">
        <v>461</v>
      </c>
      <c r="N22" t="s">
        <v>476</v>
      </c>
      <c r="O22" t="s">
        <v>477</v>
      </c>
      <c r="P22" t="s">
        <v>477</v>
      </c>
      <c r="Q22" t="s">
        <v>478</v>
      </c>
      <c r="R22" t="s">
        <v>117</v>
      </c>
      <c r="S22" t="s">
        <v>479</v>
      </c>
      <c r="T22" t="s">
        <v>479</v>
      </c>
      <c r="U22" t="s">
        <v>479</v>
      </c>
      <c r="V22" t="s">
        <v>490</v>
      </c>
      <c r="W22" t="s">
        <v>117</v>
      </c>
      <c r="X22" t="s">
        <v>491</v>
      </c>
      <c r="Y22" t="s">
        <v>492</v>
      </c>
      <c r="Z22" s="14">
        <v>45819</v>
      </c>
      <c r="AB22" s="14">
        <v>45831</v>
      </c>
      <c r="AC22" s="14">
        <v>45821</v>
      </c>
      <c r="AE22" s="14">
        <v>45870</v>
      </c>
      <c r="AF22" s="14">
        <v>45870</v>
      </c>
      <c r="AG22" s="14">
        <v>45870</v>
      </c>
      <c r="AH22" s="14">
        <v>45818</v>
      </c>
      <c r="AI22" s="14">
        <v>45819</v>
      </c>
      <c r="AJ22" s="14">
        <v>45819</v>
      </c>
      <c r="AK22" s="14">
        <v>45824</v>
      </c>
      <c r="AN22" s="14">
        <v>45830</v>
      </c>
      <c r="AX22" t="s">
        <v>468</v>
      </c>
      <c r="ZZ22" t="str">
        <f t="shared" si="0"/>
        <v>WHSU5800569|WHLC100FA00668</v>
      </c>
    </row>
    <row r="23" spans="1:702" x14ac:dyDescent="0.25">
      <c r="A23" t="s">
        <v>500</v>
      </c>
      <c r="B23" t="s">
        <v>387</v>
      </c>
      <c r="C23" t="s">
        <v>486</v>
      </c>
      <c r="D23" t="s">
        <v>487</v>
      </c>
      <c r="E23">
        <v>45812</v>
      </c>
      <c r="F23" t="s">
        <v>389</v>
      </c>
      <c r="G23" t="s">
        <v>472</v>
      </c>
      <c r="H23" t="s">
        <v>501</v>
      </c>
      <c r="I23" t="s">
        <v>501</v>
      </c>
      <c r="J23" t="s">
        <v>502</v>
      </c>
      <c r="K23" t="s">
        <v>392</v>
      </c>
      <c r="L23" t="s">
        <v>475</v>
      </c>
      <c r="M23" t="s">
        <v>461</v>
      </c>
      <c r="N23" t="s">
        <v>476</v>
      </c>
      <c r="O23" t="s">
        <v>477</v>
      </c>
      <c r="P23" t="s">
        <v>477</v>
      </c>
      <c r="Q23" t="s">
        <v>478</v>
      </c>
      <c r="R23" t="s">
        <v>117</v>
      </c>
      <c r="S23" t="s">
        <v>479</v>
      </c>
      <c r="T23" t="s">
        <v>479</v>
      </c>
      <c r="U23" t="s">
        <v>479</v>
      </c>
      <c r="V23" t="s">
        <v>490</v>
      </c>
      <c r="W23" t="s">
        <v>117</v>
      </c>
      <c r="X23" t="s">
        <v>491</v>
      </c>
      <c r="Y23" t="s">
        <v>492</v>
      </c>
      <c r="Z23" s="14">
        <v>45819</v>
      </c>
      <c r="AB23" s="14">
        <v>45831</v>
      </c>
      <c r="AC23" s="14">
        <v>45821</v>
      </c>
      <c r="AE23" s="14">
        <v>45870</v>
      </c>
      <c r="AF23" s="14">
        <v>45870</v>
      </c>
      <c r="AG23" s="14">
        <v>45870</v>
      </c>
      <c r="AH23" s="14">
        <v>45818</v>
      </c>
      <c r="AI23" s="14">
        <v>45819</v>
      </c>
      <c r="AJ23" s="14">
        <v>45819</v>
      </c>
      <c r="AK23" s="14">
        <v>45824</v>
      </c>
      <c r="AN23" s="14">
        <v>45830</v>
      </c>
      <c r="AX23" t="s">
        <v>468</v>
      </c>
      <c r="ZZ23" t="str">
        <f t="shared" si="0"/>
        <v>WHSU5503494|WHLC100FA00669</v>
      </c>
    </row>
    <row r="24" spans="1:702" x14ac:dyDescent="0.25">
      <c r="A24" t="s">
        <v>503</v>
      </c>
      <c r="B24" t="s">
        <v>387</v>
      </c>
      <c r="C24" t="s">
        <v>486</v>
      </c>
      <c r="D24" t="s">
        <v>487</v>
      </c>
      <c r="E24">
        <v>45812</v>
      </c>
      <c r="F24" t="s">
        <v>389</v>
      </c>
      <c r="G24" t="s">
        <v>472</v>
      </c>
      <c r="H24" t="s">
        <v>501</v>
      </c>
      <c r="I24" t="s">
        <v>501</v>
      </c>
      <c r="J24" t="s">
        <v>504</v>
      </c>
      <c r="K24" t="s">
        <v>392</v>
      </c>
      <c r="L24" t="s">
        <v>475</v>
      </c>
      <c r="M24" t="s">
        <v>461</v>
      </c>
      <c r="N24" t="s">
        <v>476</v>
      </c>
      <c r="O24" t="s">
        <v>477</v>
      </c>
      <c r="P24" t="s">
        <v>477</v>
      </c>
      <c r="Q24" t="s">
        <v>478</v>
      </c>
      <c r="R24" t="s">
        <v>117</v>
      </c>
      <c r="S24" t="s">
        <v>479</v>
      </c>
      <c r="T24" t="s">
        <v>479</v>
      </c>
      <c r="U24" t="s">
        <v>479</v>
      </c>
      <c r="V24" t="s">
        <v>490</v>
      </c>
      <c r="W24" t="s">
        <v>117</v>
      </c>
      <c r="X24" t="s">
        <v>491</v>
      </c>
      <c r="Y24" t="s">
        <v>492</v>
      </c>
      <c r="Z24" s="14">
        <v>45819</v>
      </c>
      <c r="AB24" s="14">
        <v>45831</v>
      </c>
      <c r="AC24" s="14">
        <v>45821</v>
      </c>
      <c r="AE24" s="14">
        <v>45870</v>
      </c>
      <c r="AF24" s="14">
        <v>45870</v>
      </c>
      <c r="AG24" s="14">
        <v>45870</v>
      </c>
      <c r="AH24" s="14">
        <v>45818</v>
      </c>
      <c r="AI24" s="14">
        <v>45819</v>
      </c>
      <c r="AJ24" s="14">
        <v>45819</v>
      </c>
      <c r="AK24" s="14">
        <v>45824</v>
      </c>
      <c r="AN24" s="14">
        <v>45830</v>
      </c>
      <c r="AX24" t="s">
        <v>468</v>
      </c>
      <c r="ZZ24" t="str">
        <f t="shared" si="0"/>
        <v>WHSU5970884|WHLC100FA00669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Master Sheet_Src</vt:lpstr>
      <vt:lpstr>Req</vt:lpstr>
      <vt:lpstr>Instructions</vt:lpstr>
      <vt:lpstr>Settings</vt:lpstr>
      <vt:lpstr>Inbound Weekly Update Template </vt:lpstr>
      <vt:lpstr>ERP</vt:lpstr>
      <vt:lpstr>IDC</vt:lpstr>
      <vt:lpstr>OEC Portal</vt:lpstr>
      <vt:lpstr>OEC Email</vt:lpstr>
      <vt:lpstr>Soma</vt:lpstr>
      <vt:lpstr>Harbour</vt:lpstr>
      <vt:lpstr>Tanera Go</vt:lpstr>
      <vt:lpstr>Topocean</vt:lpstr>
      <vt:lpstr>UNIS</vt:lpstr>
      <vt:lpstr>BluVoyix</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Jordan Levy</dc:creator>
  <cp:lastModifiedBy>Luis Miguel Hernandez Triana</cp:lastModifiedBy>
  <cp:lastPrinted>2022-10-20T16:36:21Z</cp:lastPrinted>
  <dcterms:created xsi:type="dcterms:W3CDTF">2022-01-13T05:28:10Z</dcterms:created>
  <dcterms:modified xsi:type="dcterms:W3CDTF">2025-10-24T16:03:14Z</dcterms:modified>
</cp:coreProperties>
</file>